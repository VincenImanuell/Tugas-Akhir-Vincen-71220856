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uliah\semester7\TA\KodePairTrading\"/>
    </mc:Choice>
  </mc:AlternateContent>
  <xr:revisionPtr revIDLastSave="0" documentId="13_ncr:1_{3CA61159-7FD8-4EB1-AF07-DC79B8791BFF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Raw Data" sheetId="1" r:id="rId1"/>
    <sheet name="RQ1 - Per Metode (Base)" sheetId="2" r:id="rId2"/>
    <sheet name="RQ1 - Per Metode (RSI)" sheetId="3" r:id="rId3"/>
    <sheet name="RQ2 - Per Sektor" sheetId="4" r:id="rId4"/>
    <sheet name="RQ3 - Basis vs RSI" sheetId="5" r:id="rId5"/>
    <sheet name="RQ4 - Kinerja Keseluruhan" sheetId="6" r:id="rId6"/>
    <sheet name="GS Fase1 - Terpilih (Train)" sheetId="7" r:id="rId7"/>
    <sheet name="GS Fase2 RSI - Terpilih (Train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6" l="1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F27" i="6"/>
  <c r="T26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4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</calcChain>
</file>

<file path=xl/sharedStrings.xml><?xml version="1.0" encoding="utf-8"?>
<sst xmlns="http://schemas.openxmlformats.org/spreadsheetml/2006/main" count="994" uniqueCount="216">
  <si>
    <t>Semua Pair — Data Lengkap</t>
  </si>
  <si>
    <t>Pair</t>
  </si>
  <si>
    <t>Sektor</t>
  </si>
  <si>
    <t>Metode</t>
  </si>
  <si>
    <t>Pair Type</t>
  </si>
  <si>
    <t>Y</t>
  </si>
  <si>
    <t>X</t>
  </si>
  <si>
    <t>Base_Return</t>
  </si>
  <si>
    <t>Base_Sharpe</t>
  </si>
  <si>
    <t>Base_MDD</t>
  </si>
  <si>
    <t>Base_WinRate</t>
  </si>
  <si>
    <t>Base_Volatility</t>
  </si>
  <si>
    <t>Base_Trades</t>
  </si>
  <si>
    <t>Base_TP</t>
  </si>
  <si>
    <t>Base_SL</t>
  </si>
  <si>
    <t>Base_ZExit</t>
  </si>
  <si>
    <t>RSI_Return</t>
  </si>
  <si>
    <t>RSI_Sharpe</t>
  </si>
  <si>
    <t>RSI_MDD</t>
  </si>
  <si>
    <t>RSI_WinRate</t>
  </si>
  <si>
    <t>RSI_Volatility</t>
  </si>
  <si>
    <t>RSI_Trades</t>
  </si>
  <si>
    <t>RSI_TP</t>
  </si>
  <si>
    <t>RSI_SL</t>
  </si>
  <si>
    <t>RSI_ZExit</t>
  </si>
  <si>
    <t>BH_Y</t>
  </si>
  <si>
    <t>BH_X</t>
  </si>
  <si>
    <t>Base_vs_BH_Y</t>
  </si>
  <si>
    <t>RSI_vs_BH_Y</t>
  </si>
  <si>
    <t>z_entry</t>
  </si>
  <si>
    <t>z_exit</t>
  </si>
  <si>
    <t>Z_Window</t>
  </si>
  <si>
    <t>SL</t>
  </si>
  <si>
    <t>TP</t>
  </si>
  <si>
    <t>RSI_Period</t>
  </si>
  <si>
    <t>RSI_Threshold</t>
  </si>
  <si>
    <t>ADHI-PTPP</t>
  </si>
  <si>
    <t>Infrastruktur</t>
  </si>
  <si>
    <t>Pearson, Spearman</t>
  </si>
  <si>
    <t>Pearson/Spearman</t>
  </si>
  <si>
    <t>ADHI</t>
  </si>
  <si>
    <t>PTPP</t>
  </si>
  <si>
    <t>2%</t>
  </si>
  <si>
    <t>3%</t>
  </si>
  <si>
    <t>ADRO-ITMG</t>
  </si>
  <si>
    <t>Energi</t>
  </si>
  <si>
    <t>ADRO</t>
  </si>
  <si>
    <t>ITMG</t>
  </si>
  <si>
    <t>5%</t>
  </si>
  <si>
    <t>8%</t>
  </si>
  <si>
    <t>AKSI-HELI</t>
  </si>
  <si>
    <t>Transportasi &amp; Logistik</t>
  </si>
  <si>
    <t>Kointegrasi</t>
  </si>
  <si>
    <t>Cointegration</t>
  </si>
  <si>
    <t>AKSI</t>
  </si>
  <si>
    <t>HELI</t>
  </si>
  <si>
    <t>AMRT-ADES</t>
  </si>
  <si>
    <t>Barang Konsumsi Primer</t>
  </si>
  <si>
    <t>AMRT</t>
  </si>
  <si>
    <t>ADES</t>
  </si>
  <si>
    <t>10%</t>
  </si>
  <si>
    <t>ATIC-DIVA</t>
  </si>
  <si>
    <t>Teknologi</t>
  </si>
  <si>
    <t>ATIC</t>
  </si>
  <si>
    <t>DIVA</t>
  </si>
  <si>
    <t>4%</t>
  </si>
  <si>
    <t>BBNI-BMRI</t>
  </si>
  <si>
    <t>Keuangan</t>
  </si>
  <si>
    <t>Spearman</t>
  </si>
  <si>
    <t>BBNI</t>
  </si>
  <si>
    <t>BMRI</t>
  </si>
  <si>
    <t>DMMX-MLPT</t>
  </si>
  <si>
    <t>DMMX</t>
  </si>
  <si>
    <t>MLPT</t>
  </si>
  <si>
    <t>7%</t>
  </si>
  <si>
    <t>Disabled</t>
  </si>
  <si>
    <t>GDYR-GLOB</t>
  </si>
  <si>
    <t>Barang Konsumsi Non-Primer</t>
  </si>
  <si>
    <t>GDYR</t>
  </si>
  <si>
    <t>GLOB</t>
  </si>
  <si>
    <t>IMPC-HEXA</t>
  </si>
  <si>
    <t>Industri</t>
  </si>
  <si>
    <t>IMPC</t>
  </si>
  <si>
    <t>HEXA</t>
  </si>
  <si>
    <t>JAST-OASA</t>
  </si>
  <si>
    <t>JAST</t>
  </si>
  <si>
    <t>OASA</t>
  </si>
  <si>
    <t>JMAS-BBRI</t>
  </si>
  <si>
    <t>JMAS</t>
  </si>
  <si>
    <t>BBRI</t>
  </si>
  <si>
    <t>6%</t>
  </si>
  <si>
    <t>KAEF-INAF</t>
  </si>
  <si>
    <t>Kesehatan</t>
  </si>
  <si>
    <t>KAEF</t>
  </si>
  <si>
    <t>INAF</t>
  </si>
  <si>
    <t>KOPI-DWGL</t>
  </si>
  <si>
    <t>KOPI</t>
  </si>
  <si>
    <t>DWGL</t>
  </si>
  <si>
    <t>MAPI-PANR</t>
  </si>
  <si>
    <t>MAPI</t>
  </si>
  <si>
    <t>PANR</t>
  </si>
  <si>
    <t>MIKA-PRIM</t>
  </si>
  <si>
    <t>MIKA</t>
  </si>
  <si>
    <t>PRIM</t>
  </si>
  <si>
    <t>NZIA-PAMG</t>
  </si>
  <si>
    <t>Properti</t>
  </si>
  <si>
    <t>NZIA</t>
  </si>
  <si>
    <t>PAMG</t>
  </si>
  <si>
    <t>PICO-ALMI</t>
  </si>
  <si>
    <t>Barang Baku</t>
  </si>
  <si>
    <t>PICO</t>
  </si>
  <si>
    <t>ALMI</t>
  </si>
  <si>
    <t>PNBN-PNLF</t>
  </si>
  <si>
    <t>Pearson</t>
  </si>
  <si>
    <t>PNBN</t>
  </si>
  <si>
    <t>PNLF</t>
  </si>
  <si>
    <t>POLL-URBN</t>
  </si>
  <si>
    <t>POLL</t>
  </si>
  <si>
    <t>URBN</t>
  </si>
  <si>
    <t>SKBM-MGRO</t>
  </si>
  <si>
    <t>SKBM</t>
  </si>
  <si>
    <t>MGRO</t>
  </si>
  <si>
    <t>SMDR-TMAS</t>
  </si>
  <si>
    <t>SMDR</t>
  </si>
  <si>
    <t>TMAS</t>
  </si>
  <si>
    <t>SOSS-SKRN</t>
  </si>
  <si>
    <t>SOSS</t>
  </si>
  <si>
    <t>SKRN</t>
  </si>
  <si>
    <t>SPMA-UNIC</t>
  </si>
  <si>
    <t>SPMA</t>
  </si>
  <si>
    <t>UNIC</t>
  </si>
  <si>
    <t>RQ1 — Perbandingan Antar Metode (Strategi Basis)</t>
  </si>
  <si>
    <t>Jumlah Pair</t>
  </si>
  <si>
    <t>Return (%)</t>
  </si>
  <si>
    <t>Sharpe Ratio</t>
  </si>
  <si>
    <t>MDD (%)</t>
  </si>
  <si>
    <t>Win Rate (%)</t>
  </si>
  <si>
    <t>Volatility (%)</t>
  </si>
  <si>
    <t>Avg Trades</t>
  </si>
  <si>
    <t>Positive Pairs</t>
  </si>
  <si>
    <t>Detail per Pair</t>
  </si>
  <si>
    <t>RQ1 — Perbandingan Antar Metode (RSI-Filtered)</t>
  </si>
  <si>
    <t>RQ2 — Kinerja Per Sektor</t>
  </si>
  <si>
    <t>Strategi</t>
  </si>
  <si>
    <t>Basis</t>
  </si>
  <si>
    <t>RSI</t>
  </si>
  <si>
    <t>Detail Pair per Sektor</t>
  </si>
  <si>
    <t>Return_Base(%)</t>
  </si>
  <si>
    <t>Sharpe_Base</t>
  </si>
  <si>
    <t>MDD_Base(%)</t>
  </si>
  <si>
    <t>WR_Base(%)</t>
  </si>
  <si>
    <t>Trades_Base</t>
  </si>
  <si>
    <t>Return_RSI(%)</t>
  </si>
  <si>
    <t>Sharpe_RSI</t>
  </si>
  <si>
    <t>MDD_RSI(%)</t>
  </si>
  <si>
    <t>WR_RSI(%)</t>
  </si>
  <si>
    <t>Trades_RSI</t>
  </si>
  <si>
    <t>RQ3 — Perbandingan Basis vs RSI-Filtered</t>
  </si>
  <si>
    <t>Δ_Return</t>
  </si>
  <si>
    <t>Δ_Sharpe</t>
  </si>
  <si>
    <t>Δ_MDD</t>
  </si>
  <si>
    <t>Δ_WinRate</t>
  </si>
  <si>
    <t>Δ_Trades</t>
  </si>
  <si>
    <t>Ringkasan Agregat</t>
  </si>
  <si>
    <t>Avg Return Basis (%)</t>
  </si>
  <si>
    <t>Avg Return RSI (%)</t>
  </si>
  <si>
    <t>Avg Sharpe Basis</t>
  </si>
  <si>
    <t>Avg Sharpe RSI</t>
  </si>
  <si>
    <t>Avg MDD Basis (%)</t>
  </si>
  <si>
    <t>Avg MDD RSI (%)</t>
  </si>
  <si>
    <t>Avg Win Rate Basis (%)</t>
  </si>
  <si>
    <t>Avg Win Rate RSI (%)</t>
  </si>
  <si>
    <t>RSI lebih baik (Return)</t>
  </si>
  <si>
    <t>RSI lebih baik (MDD)</t>
  </si>
  <si>
    <t>RSI lebih baik (Sharpe)</t>
  </si>
  <si>
    <t>RQ4 — Kinerja Keseluruhan Out-of-Sample</t>
  </si>
  <si>
    <t>Base_Return(%)</t>
  </si>
  <si>
    <t>Base_MDD(%)</t>
  </si>
  <si>
    <t>Base_WinRate(%)</t>
  </si>
  <si>
    <t>RSI_Return(%)</t>
  </si>
  <si>
    <t>RSI_MDD(%)</t>
  </si>
  <si>
    <t>RSI_WinRate(%)</t>
  </si>
  <si>
    <t>BH_Y(%)</t>
  </si>
  <si>
    <t>BH_X(%)</t>
  </si>
  <si>
    <t>Base_vs_BH_Y(%)</t>
  </si>
  <si>
    <t>RSI_vs_BH_Y(%)</t>
  </si>
  <si>
    <t>Statistik Keseluruhan</t>
  </si>
  <si>
    <t>Total Pair</t>
  </si>
  <si>
    <t>Pair Basis Positif (Return)</t>
  </si>
  <si>
    <t>Pair RSI Positif (Return)</t>
  </si>
  <si>
    <t>Median Return Basis (%)</t>
  </si>
  <si>
    <t>Median Return RSI (%)</t>
  </si>
  <si>
    <t>Avg Trades Basis</t>
  </si>
  <si>
    <t>Avg Trades RSI</t>
  </si>
  <si>
    <t>Avg B&amp;H Y (%)</t>
  </si>
  <si>
    <t>Best Pair (RSI Return)</t>
  </si>
  <si>
    <t>Worst Pair (RSI Return)</t>
  </si>
  <si>
    <t>Grid Search Fase 1 — Baris Terpilih (Rank 1) per Pair, Data Training</t>
  </si>
  <si>
    <t>Rank</t>
  </si>
  <si>
    <t>Window</t>
  </si>
  <si>
    <t>RR Ratio</t>
  </si>
  <si>
    <t>Total Return (%)</t>
  </si>
  <si>
    <t>Max Drawdown (%)</t>
  </si>
  <si>
    <t>Trades</t>
  </si>
  <si>
    <t>SL Hits</t>
  </si>
  <si>
    <t>TP Hits</t>
  </si>
  <si>
    <t>Z-Exits</t>
  </si>
  <si>
    <t>1 : 1.5</t>
  </si>
  <si>
    <t>1 : 2.0</t>
  </si>
  <si>
    <t>SL 7% / No TP</t>
  </si>
  <si>
    <t>SL 3% / No TP</t>
  </si>
  <si>
    <t>Grid Search Fase 2 RSI — Baris Terpilih (Rank 1) per Pair, Data Training</t>
  </si>
  <si>
    <t>RSI Period</t>
  </si>
  <si>
    <t>RSI Threshold</t>
  </si>
  <si>
    <t>Base_vs_BH_X(%)</t>
  </si>
  <si>
    <t>RSI_vs_BH_X(%)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</si>
</sst>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DAD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0" xfId="0" applyFont="1" applyFill="1"/>
    <xf numFmtId="0" fontId="3" fillId="5" borderId="1" xfId="0" applyFont="1" applyFill="1" applyBorder="1" applyAlignment="1">
      <alignment horizontal="center"/>
    </xf>
    <xf numFmtId="0" fontId="5" fillId="6" borderId="0" xfId="0" applyFont="1" applyFill="1"/>
    <xf numFmtId="0" fontId="3" fillId="0" borderId="1" xfId="0" applyFont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topLeftCell="T1" workbookViewId="0">
      <pane ySplit="3" topLeftCell="A4" activePane="bottomLeft" state="frozen"/>
      <selection pane="bottomLeft" sqref="A1:AI1"/>
    </sheetView>
  </sheetViews>
  <sheetFormatPr defaultRowHeight="14.4" x14ac:dyDescent="0.3"/>
  <cols>
    <col min="1" max="1" width="29" customWidth="1"/>
    <col min="2" max="2" width="30" customWidth="1"/>
    <col min="3" max="3" width="21" customWidth="1"/>
    <col min="4" max="4" width="20" customWidth="1"/>
    <col min="5" max="6" width="8" customWidth="1"/>
    <col min="7" max="8" width="15" customWidth="1"/>
    <col min="9" max="9" width="12" customWidth="1"/>
    <col min="10" max="10" width="16" customWidth="1"/>
    <col min="11" max="11" width="19" customWidth="1"/>
    <col min="12" max="12" width="15" customWidth="1"/>
    <col min="13" max="14" width="11" customWidth="1"/>
    <col min="15" max="17" width="14" customWidth="1"/>
    <col min="18" max="18" width="11" customWidth="1"/>
    <col min="19" max="19" width="15" customWidth="1"/>
    <col min="20" max="20" width="18" customWidth="1"/>
    <col min="21" max="21" width="14" customWidth="1"/>
    <col min="22" max="23" width="10" customWidth="1"/>
    <col min="24" max="24" width="13" customWidth="1"/>
    <col min="25" max="25" width="10" customWidth="1"/>
    <col min="26" max="26" width="11" customWidth="1"/>
    <col min="27" max="27" width="16" customWidth="1"/>
    <col min="28" max="28" width="15" customWidth="1"/>
    <col min="29" max="29" width="11" customWidth="1"/>
    <col min="30" max="30" width="10" customWidth="1"/>
    <col min="31" max="31" width="12" customWidth="1"/>
    <col min="32" max="32" width="6" customWidth="1"/>
    <col min="33" max="33" width="12" customWidth="1"/>
    <col min="34" max="34" width="14" customWidth="1"/>
    <col min="35" max="35" width="17" customWidth="1"/>
  </cols>
  <sheetData>
    <row r="1" spans="1:35" ht="16.8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3" spans="1:3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</row>
    <row r="4" spans="1:35" x14ac:dyDescent="0.3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>
        <v>-0.88</v>
      </c>
      <c r="H4" s="2">
        <v>8.0000000000000004E-4</v>
      </c>
      <c r="I4" s="2">
        <v>-14.89</v>
      </c>
      <c r="J4" s="2">
        <v>36.840000000000003</v>
      </c>
      <c r="K4" s="2">
        <v>9.9499999999999993</v>
      </c>
      <c r="L4" s="2">
        <v>7</v>
      </c>
      <c r="M4" s="2">
        <v>2</v>
      </c>
      <c r="N4" s="2">
        <v>5</v>
      </c>
      <c r="O4" s="2">
        <v>0</v>
      </c>
      <c r="P4" s="2">
        <v>-9.7799999999999994</v>
      </c>
      <c r="Q4" s="2">
        <v>-1.2137</v>
      </c>
      <c r="R4" s="2">
        <v>-12.27</v>
      </c>
      <c r="S4" s="2">
        <v>33.33</v>
      </c>
      <c r="T4" s="2">
        <v>4.4400000000000004</v>
      </c>
      <c r="U4" s="2">
        <v>3</v>
      </c>
      <c r="V4" s="2">
        <v>0</v>
      </c>
      <c r="W4" s="2">
        <v>3</v>
      </c>
      <c r="X4" s="2">
        <v>0</v>
      </c>
      <c r="Y4" s="2">
        <v>-15.72</v>
      </c>
      <c r="Z4" s="2">
        <v>-8</v>
      </c>
      <c r="AA4" s="2">
        <v>14.84</v>
      </c>
      <c r="AB4" s="2">
        <v>5.94</v>
      </c>
      <c r="AC4" s="2">
        <v>2.5</v>
      </c>
      <c r="AD4" s="2">
        <v>0.25</v>
      </c>
      <c r="AE4" s="2">
        <v>60</v>
      </c>
      <c r="AF4" s="2" t="s">
        <v>42</v>
      </c>
      <c r="AG4" s="2" t="s">
        <v>43</v>
      </c>
      <c r="AH4" s="2">
        <v>7</v>
      </c>
      <c r="AI4" s="2">
        <v>40</v>
      </c>
    </row>
    <row r="5" spans="1:35" x14ac:dyDescent="0.3">
      <c r="A5" s="2" t="s">
        <v>44</v>
      </c>
      <c r="B5" s="2" t="s">
        <v>45</v>
      </c>
      <c r="C5" s="2" t="s">
        <v>38</v>
      </c>
      <c r="D5" s="2" t="s">
        <v>39</v>
      </c>
      <c r="E5" s="2" t="s">
        <v>46</v>
      </c>
      <c r="F5" s="2" t="s">
        <v>47</v>
      </c>
      <c r="G5" s="2">
        <v>-1.33</v>
      </c>
      <c r="H5" s="2">
        <v>0.1361</v>
      </c>
      <c r="I5" s="2">
        <v>-29.59</v>
      </c>
      <c r="J5" s="2">
        <v>49.84</v>
      </c>
      <c r="K5" s="2">
        <v>30.33</v>
      </c>
      <c r="L5" s="2">
        <v>12</v>
      </c>
      <c r="M5" s="2">
        <v>6</v>
      </c>
      <c r="N5" s="2">
        <v>6</v>
      </c>
      <c r="O5" s="2">
        <v>0</v>
      </c>
      <c r="P5" s="2">
        <v>4.9800000000000004</v>
      </c>
      <c r="Q5" s="2">
        <v>0.24279999999999999</v>
      </c>
      <c r="R5" s="2">
        <v>-16.16</v>
      </c>
      <c r="S5" s="2">
        <v>48.91</v>
      </c>
      <c r="T5" s="2">
        <v>15.89</v>
      </c>
      <c r="U5" s="2">
        <v>7</v>
      </c>
      <c r="V5" s="2">
        <v>3</v>
      </c>
      <c r="W5" s="2">
        <v>3</v>
      </c>
      <c r="X5" s="2">
        <v>0</v>
      </c>
      <c r="Y5" s="2">
        <v>-27.31</v>
      </c>
      <c r="Z5" s="2">
        <v>-17.059999999999999</v>
      </c>
      <c r="AA5" s="2">
        <v>25.98</v>
      </c>
      <c r="AB5" s="2">
        <v>32.29</v>
      </c>
      <c r="AC5" s="2">
        <v>1.5</v>
      </c>
      <c r="AD5" s="2">
        <v>0</v>
      </c>
      <c r="AE5" s="2">
        <v>40</v>
      </c>
      <c r="AF5" s="2" t="s">
        <v>48</v>
      </c>
      <c r="AG5" s="2" t="s">
        <v>49</v>
      </c>
      <c r="AH5" s="2">
        <v>10</v>
      </c>
      <c r="AI5" s="2">
        <v>40</v>
      </c>
    </row>
    <row r="6" spans="1:35" x14ac:dyDescent="0.3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-9.17</v>
      </c>
      <c r="H6" s="2">
        <v>-1.4999999999999999E-2</v>
      </c>
      <c r="I6" s="2">
        <v>-50.49</v>
      </c>
      <c r="J6" s="2">
        <v>42.68</v>
      </c>
      <c r="K6" s="2">
        <v>31.34</v>
      </c>
      <c r="L6" s="2">
        <v>24</v>
      </c>
      <c r="M6" s="2">
        <v>5</v>
      </c>
      <c r="N6" s="2">
        <v>10</v>
      </c>
      <c r="O6" s="2">
        <v>9</v>
      </c>
      <c r="P6" s="2">
        <v>-35.32</v>
      </c>
      <c r="Q6" s="2">
        <v>-1.7194</v>
      </c>
      <c r="R6" s="2">
        <v>-35.32</v>
      </c>
      <c r="S6" s="2">
        <v>38.78</v>
      </c>
      <c r="T6" s="2">
        <v>12.99</v>
      </c>
      <c r="U6" s="2">
        <v>11</v>
      </c>
      <c r="V6" s="2">
        <v>0</v>
      </c>
      <c r="W6" s="2">
        <v>7</v>
      </c>
      <c r="X6" s="2">
        <v>4</v>
      </c>
      <c r="Y6" s="2">
        <v>234.27</v>
      </c>
      <c r="Z6" s="2">
        <v>-46.08</v>
      </c>
      <c r="AA6" s="2">
        <v>-243.43</v>
      </c>
      <c r="AB6" s="2">
        <v>-269.58999999999997</v>
      </c>
      <c r="AC6" s="2">
        <v>2</v>
      </c>
      <c r="AD6" s="2">
        <v>0.5</v>
      </c>
      <c r="AE6" s="2">
        <v>20</v>
      </c>
      <c r="AF6" s="2" t="s">
        <v>48</v>
      </c>
      <c r="AG6" s="2" t="s">
        <v>49</v>
      </c>
      <c r="AH6" s="2">
        <v>14</v>
      </c>
      <c r="AI6" s="2">
        <v>40</v>
      </c>
    </row>
    <row r="7" spans="1:35" x14ac:dyDescent="0.3">
      <c r="A7" s="2" t="s">
        <v>56</v>
      </c>
      <c r="B7" s="2" t="s">
        <v>57</v>
      </c>
      <c r="C7" s="2" t="s">
        <v>38</v>
      </c>
      <c r="D7" s="2" t="s">
        <v>39</v>
      </c>
      <c r="E7" s="2" t="s">
        <v>58</v>
      </c>
      <c r="F7" s="2" t="s">
        <v>59</v>
      </c>
      <c r="G7" s="2">
        <v>42.49</v>
      </c>
      <c r="H7" s="2">
        <v>1.0291999999999999</v>
      </c>
      <c r="I7" s="2">
        <v>-14.61</v>
      </c>
      <c r="J7" s="2">
        <v>48.44</v>
      </c>
      <c r="K7" s="2">
        <v>20.3</v>
      </c>
      <c r="L7" s="2">
        <v>13</v>
      </c>
      <c r="M7" s="2">
        <v>4</v>
      </c>
      <c r="N7" s="2">
        <v>4</v>
      </c>
      <c r="O7" s="2">
        <v>5</v>
      </c>
      <c r="P7" s="2">
        <v>-10.53</v>
      </c>
      <c r="Q7" s="2">
        <v>-0.29370000000000002</v>
      </c>
      <c r="R7" s="2">
        <v>-22.65</v>
      </c>
      <c r="S7" s="2">
        <v>48.28</v>
      </c>
      <c r="T7" s="2">
        <v>15.89</v>
      </c>
      <c r="U7" s="2">
        <v>8</v>
      </c>
      <c r="V7" s="2">
        <v>2</v>
      </c>
      <c r="W7" s="2">
        <v>5</v>
      </c>
      <c r="X7" s="2">
        <v>1</v>
      </c>
      <c r="Y7" s="2">
        <v>-31.66</v>
      </c>
      <c r="Z7" s="2">
        <v>59.02</v>
      </c>
      <c r="AA7" s="2">
        <v>74.150000000000006</v>
      </c>
      <c r="AB7" s="2">
        <v>21.13</v>
      </c>
      <c r="AC7" s="2">
        <v>2</v>
      </c>
      <c r="AD7" s="2">
        <v>0.25</v>
      </c>
      <c r="AE7" s="2">
        <v>40</v>
      </c>
      <c r="AF7" s="2" t="s">
        <v>48</v>
      </c>
      <c r="AG7" s="2" t="s">
        <v>60</v>
      </c>
      <c r="AH7" s="2">
        <v>14</v>
      </c>
      <c r="AI7" s="2">
        <v>40</v>
      </c>
    </row>
    <row r="8" spans="1:35" x14ac:dyDescent="0.3">
      <c r="A8" s="2" t="s">
        <v>61</v>
      </c>
      <c r="B8" s="2" t="s">
        <v>62</v>
      </c>
      <c r="C8" s="2" t="s">
        <v>52</v>
      </c>
      <c r="D8" s="2" t="s">
        <v>53</v>
      </c>
      <c r="E8" s="2" t="s">
        <v>63</v>
      </c>
      <c r="F8" s="2" t="s">
        <v>64</v>
      </c>
      <c r="G8" s="2">
        <v>18.43</v>
      </c>
      <c r="H8" s="2">
        <v>0.76680000000000004</v>
      </c>
      <c r="I8" s="2">
        <v>-8.35</v>
      </c>
      <c r="J8" s="2">
        <v>48.65</v>
      </c>
      <c r="K8" s="2">
        <v>12.8</v>
      </c>
      <c r="L8" s="2">
        <v>10</v>
      </c>
      <c r="M8" s="2">
        <v>5</v>
      </c>
      <c r="N8" s="2">
        <v>4</v>
      </c>
      <c r="O8" s="2">
        <v>1</v>
      </c>
      <c r="P8" s="2">
        <v>7.96</v>
      </c>
      <c r="Q8" s="2">
        <v>0.48980000000000001</v>
      </c>
      <c r="R8" s="2">
        <v>-7.09</v>
      </c>
      <c r="S8" s="2">
        <v>37.5</v>
      </c>
      <c r="T8" s="2">
        <v>9.16</v>
      </c>
      <c r="U8" s="2">
        <v>4</v>
      </c>
      <c r="V8" s="2">
        <v>2</v>
      </c>
      <c r="W8" s="2">
        <v>2</v>
      </c>
      <c r="X8" s="2">
        <v>0</v>
      </c>
      <c r="Y8" s="2">
        <v>34.94</v>
      </c>
      <c r="Z8" s="2">
        <v>-30.42</v>
      </c>
      <c r="AA8" s="2">
        <v>-16.510000000000002</v>
      </c>
      <c r="AB8" s="2">
        <v>-26.98</v>
      </c>
      <c r="AC8" s="2">
        <v>2.5</v>
      </c>
      <c r="AD8" s="2">
        <v>0.25</v>
      </c>
      <c r="AE8" s="2">
        <v>20</v>
      </c>
      <c r="AF8" s="2" t="s">
        <v>43</v>
      </c>
      <c r="AG8" s="2" t="s">
        <v>65</v>
      </c>
      <c r="AH8" s="2">
        <v>14</v>
      </c>
      <c r="AI8" s="2">
        <v>40</v>
      </c>
    </row>
    <row r="9" spans="1:35" x14ac:dyDescent="0.3">
      <c r="A9" s="2" t="s">
        <v>66</v>
      </c>
      <c r="B9" s="2" t="s">
        <v>67</v>
      </c>
      <c r="C9" s="2" t="s">
        <v>68</v>
      </c>
      <c r="D9" s="2" t="s">
        <v>39</v>
      </c>
      <c r="E9" s="2" t="s">
        <v>69</v>
      </c>
      <c r="F9" s="2" t="s">
        <v>70</v>
      </c>
      <c r="G9" s="2">
        <v>-27.58</v>
      </c>
      <c r="H9" s="2">
        <v>-0.6028</v>
      </c>
      <c r="I9" s="2">
        <v>-40.35</v>
      </c>
      <c r="J9" s="2">
        <v>43.24</v>
      </c>
      <c r="K9" s="2">
        <v>23.83</v>
      </c>
      <c r="L9" s="2">
        <v>28</v>
      </c>
      <c r="M9" s="2">
        <v>7</v>
      </c>
      <c r="N9" s="2">
        <v>20</v>
      </c>
      <c r="O9" s="2">
        <v>0</v>
      </c>
      <c r="P9" s="2">
        <v>-16.38</v>
      </c>
      <c r="Q9" s="2">
        <v>-1.0839000000000001</v>
      </c>
      <c r="R9" s="2">
        <v>-16.77</v>
      </c>
      <c r="S9" s="2">
        <v>34.619999999999997</v>
      </c>
      <c r="T9" s="2">
        <v>8.4499999999999993</v>
      </c>
      <c r="U9" s="2">
        <v>3</v>
      </c>
      <c r="V9" s="2">
        <v>0</v>
      </c>
      <c r="W9" s="2">
        <v>3</v>
      </c>
      <c r="X9" s="2">
        <v>0</v>
      </c>
      <c r="Y9" s="2">
        <v>-18.7</v>
      </c>
      <c r="Z9" s="2">
        <v>-16.73</v>
      </c>
      <c r="AA9" s="2">
        <v>-8.8800000000000008</v>
      </c>
      <c r="AB9" s="2">
        <v>2.3199999999999998</v>
      </c>
      <c r="AC9" s="2">
        <v>1.5</v>
      </c>
      <c r="AD9" s="2">
        <v>0</v>
      </c>
      <c r="AE9" s="2">
        <v>20</v>
      </c>
      <c r="AF9" s="2" t="s">
        <v>65</v>
      </c>
      <c r="AG9" s="2" t="s">
        <v>49</v>
      </c>
      <c r="AH9" s="2">
        <v>14</v>
      </c>
      <c r="AI9" s="2">
        <v>25</v>
      </c>
    </row>
    <row r="10" spans="1:35" x14ac:dyDescent="0.3">
      <c r="A10" s="2" t="s">
        <v>71</v>
      </c>
      <c r="B10" s="2" t="s">
        <v>62</v>
      </c>
      <c r="C10" s="2" t="s">
        <v>38</v>
      </c>
      <c r="D10" s="2" t="s">
        <v>39</v>
      </c>
      <c r="E10" s="2" t="s">
        <v>72</v>
      </c>
      <c r="F10" s="2" t="s">
        <v>73</v>
      </c>
      <c r="G10" s="2">
        <v>483.72</v>
      </c>
      <c r="H10" s="2">
        <v>2.0032999999999999</v>
      </c>
      <c r="I10" s="2">
        <v>-34.869999999999997</v>
      </c>
      <c r="J10" s="2">
        <v>49.15</v>
      </c>
      <c r="K10" s="2">
        <v>53.76</v>
      </c>
      <c r="L10" s="2">
        <v>18</v>
      </c>
      <c r="M10" s="2">
        <v>0</v>
      </c>
      <c r="N10" s="2">
        <v>7</v>
      </c>
      <c r="O10" s="2">
        <v>11</v>
      </c>
      <c r="P10" s="2">
        <v>405.48</v>
      </c>
      <c r="Q10" s="2">
        <v>2.1536</v>
      </c>
      <c r="R10" s="2">
        <v>-18.07</v>
      </c>
      <c r="S10" s="2">
        <v>50.75</v>
      </c>
      <c r="T10" s="2">
        <v>44.29</v>
      </c>
      <c r="U10" s="2">
        <v>9</v>
      </c>
      <c r="V10" s="2">
        <v>0</v>
      </c>
      <c r="W10" s="2">
        <v>4</v>
      </c>
      <c r="X10" s="2">
        <v>5</v>
      </c>
      <c r="Y10" s="2">
        <v>17.28</v>
      </c>
      <c r="Z10" s="2">
        <v>3925.81</v>
      </c>
      <c r="AA10" s="2">
        <v>466.44</v>
      </c>
      <c r="AB10" s="2">
        <v>388.2</v>
      </c>
      <c r="AC10" s="2">
        <v>2</v>
      </c>
      <c r="AD10" s="2">
        <v>0.5</v>
      </c>
      <c r="AE10" s="2">
        <v>60</v>
      </c>
      <c r="AF10" s="2" t="s">
        <v>74</v>
      </c>
      <c r="AG10" s="2" t="s">
        <v>75</v>
      </c>
      <c r="AH10" s="2">
        <v>7</v>
      </c>
      <c r="AI10" s="2">
        <v>25</v>
      </c>
    </row>
    <row r="11" spans="1:35" x14ac:dyDescent="0.3">
      <c r="A11" s="2" t="s">
        <v>76</v>
      </c>
      <c r="B11" s="2" t="s">
        <v>77</v>
      </c>
      <c r="C11" s="2" t="s">
        <v>52</v>
      </c>
      <c r="D11" s="2" t="s">
        <v>53</v>
      </c>
      <c r="E11" s="2" t="s">
        <v>78</v>
      </c>
      <c r="F11" s="2" t="s">
        <v>79</v>
      </c>
      <c r="G11" s="2">
        <v>20.61</v>
      </c>
      <c r="H11" s="2">
        <v>0.54759999999999998</v>
      </c>
      <c r="I11" s="2">
        <v>-34.53</v>
      </c>
      <c r="J11" s="2">
        <v>55.88</v>
      </c>
      <c r="K11" s="2">
        <v>22.95</v>
      </c>
      <c r="L11" s="2">
        <v>37</v>
      </c>
      <c r="M11" s="2">
        <v>13</v>
      </c>
      <c r="N11" s="2">
        <v>13</v>
      </c>
      <c r="O11" s="2">
        <v>11</v>
      </c>
      <c r="P11" s="2">
        <v>-14.12</v>
      </c>
      <c r="Q11" s="2">
        <v>-0.3659</v>
      </c>
      <c r="R11" s="2">
        <v>-30.89</v>
      </c>
      <c r="S11" s="2">
        <v>53.57</v>
      </c>
      <c r="T11" s="2">
        <v>17.8</v>
      </c>
      <c r="U11" s="2">
        <v>25</v>
      </c>
      <c r="V11" s="2">
        <v>9</v>
      </c>
      <c r="W11" s="2">
        <v>12</v>
      </c>
      <c r="X11" s="2">
        <v>4</v>
      </c>
      <c r="Y11" s="2">
        <v>-36.79</v>
      </c>
      <c r="Z11" s="2">
        <v>49.04</v>
      </c>
      <c r="AA11" s="2">
        <v>57.4</v>
      </c>
      <c r="AB11" s="2">
        <v>22.67</v>
      </c>
      <c r="AC11" s="2">
        <v>1.5</v>
      </c>
      <c r="AD11" s="2">
        <v>0.5</v>
      </c>
      <c r="AE11" s="2">
        <v>20</v>
      </c>
      <c r="AF11" s="2" t="s">
        <v>42</v>
      </c>
      <c r="AG11" s="2" t="s">
        <v>43</v>
      </c>
      <c r="AH11" s="2">
        <v>7</v>
      </c>
      <c r="AI11" s="2">
        <v>40</v>
      </c>
    </row>
    <row r="12" spans="1:35" x14ac:dyDescent="0.3">
      <c r="A12" s="2" t="s">
        <v>80</v>
      </c>
      <c r="B12" s="2" t="s">
        <v>81</v>
      </c>
      <c r="C12" s="2" t="s">
        <v>38</v>
      </c>
      <c r="D12" s="2" t="s">
        <v>39</v>
      </c>
      <c r="E12" s="2" t="s">
        <v>82</v>
      </c>
      <c r="F12" s="2" t="s">
        <v>83</v>
      </c>
      <c r="G12" s="2">
        <v>0.03</v>
      </c>
      <c r="H12" s="2">
        <v>8.72E-2</v>
      </c>
      <c r="I12" s="2">
        <v>-19.989999999999998</v>
      </c>
      <c r="J12" s="2">
        <v>53.38</v>
      </c>
      <c r="K12" s="2">
        <v>17.41</v>
      </c>
      <c r="L12" s="2">
        <v>9</v>
      </c>
      <c r="M12" s="2">
        <v>4</v>
      </c>
      <c r="N12" s="2">
        <v>5</v>
      </c>
      <c r="O12" s="2">
        <v>0</v>
      </c>
      <c r="P12" s="2">
        <v>-16.329999999999998</v>
      </c>
      <c r="Q12" s="2">
        <v>-0.42509999999999998</v>
      </c>
      <c r="R12" s="2">
        <v>-22.08</v>
      </c>
      <c r="S12" s="2">
        <v>56.67</v>
      </c>
      <c r="T12" s="2">
        <v>18.36</v>
      </c>
      <c r="U12" s="2">
        <v>5</v>
      </c>
      <c r="V12" s="2">
        <v>1</v>
      </c>
      <c r="W12" s="2">
        <v>4</v>
      </c>
      <c r="X12" s="2">
        <v>0</v>
      </c>
      <c r="Y12" s="2">
        <v>907.69</v>
      </c>
      <c r="Z12" s="2">
        <v>-21.1</v>
      </c>
      <c r="AA12" s="2">
        <v>-907.66</v>
      </c>
      <c r="AB12" s="2">
        <v>-924.02</v>
      </c>
      <c r="AC12" s="2">
        <v>2</v>
      </c>
      <c r="AD12" s="2">
        <v>0</v>
      </c>
      <c r="AE12" s="2">
        <v>60</v>
      </c>
      <c r="AF12" s="2" t="s">
        <v>48</v>
      </c>
      <c r="AG12" s="2" t="s">
        <v>49</v>
      </c>
      <c r="AH12" s="2">
        <v>10</v>
      </c>
      <c r="AI12" s="2">
        <v>25</v>
      </c>
    </row>
    <row r="13" spans="1:35" x14ac:dyDescent="0.3">
      <c r="A13" s="2" t="s">
        <v>84</v>
      </c>
      <c r="B13" s="2" t="s">
        <v>37</v>
      </c>
      <c r="C13" s="2" t="s">
        <v>52</v>
      </c>
      <c r="D13" s="2" t="s">
        <v>53</v>
      </c>
      <c r="E13" s="2" t="s">
        <v>85</v>
      </c>
      <c r="F13" s="2" t="s">
        <v>86</v>
      </c>
      <c r="G13" s="2">
        <v>78.5</v>
      </c>
      <c r="H13" s="2">
        <v>0.93869999999999998</v>
      </c>
      <c r="I13" s="2">
        <v>-25.06</v>
      </c>
      <c r="J13" s="2">
        <v>51.56</v>
      </c>
      <c r="K13" s="2">
        <v>41.88</v>
      </c>
      <c r="L13" s="2">
        <v>20</v>
      </c>
      <c r="M13" s="2">
        <v>10</v>
      </c>
      <c r="N13" s="2">
        <v>10</v>
      </c>
      <c r="O13" s="2">
        <v>0</v>
      </c>
      <c r="P13" s="2">
        <v>36.79</v>
      </c>
      <c r="Q13" s="2">
        <v>0.63919999999999999</v>
      </c>
      <c r="R13" s="2">
        <v>-25.06</v>
      </c>
      <c r="S13" s="2">
        <v>49.62</v>
      </c>
      <c r="T13" s="2">
        <v>35.26</v>
      </c>
      <c r="U13" s="2">
        <v>14</v>
      </c>
      <c r="V13" s="2">
        <v>6</v>
      </c>
      <c r="W13" s="2">
        <v>8</v>
      </c>
      <c r="X13" s="2">
        <v>0</v>
      </c>
      <c r="Y13" s="2">
        <v>100</v>
      </c>
      <c r="Z13" s="2">
        <v>88.57</v>
      </c>
      <c r="AA13" s="2">
        <v>-21.5</v>
      </c>
      <c r="AB13" s="2">
        <v>-63.21</v>
      </c>
      <c r="AC13" s="2">
        <v>1.5</v>
      </c>
      <c r="AD13" s="2">
        <v>0</v>
      </c>
      <c r="AE13" s="2">
        <v>40</v>
      </c>
      <c r="AF13" s="2" t="s">
        <v>48</v>
      </c>
      <c r="AG13" s="2" t="s">
        <v>60</v>
      </c>
      <c r="AH13" s="2">
        <v>10</v>
      </c>
      <c r="AI13" s="2">
        <v>40</v>
      </c>
    </row>
    <row r="14" spans="1:35" x14ac:dyDescent="0.3">
      <c r="A14" s="2" t="s">
        <v>87</v>
      </c>
      <c r="B14" s="2" t="s">
        <v>67</v>
      </c>
      <c r="C14" s="2" t="s">
        <v>52</v>
      </c>
      <c r="D14" s="2" t="s">
        <v>53</v>
      </c>
      <c r="E14" s="2" t="s">
        <v>88</v>
      </c>
      <c r="F14" s="2" t="s">
        <v>89</v>
      </c>
      <c r="G14" s="2">
        <v>-9.75</v>
      </c>
      <c r="H14" s="2">
        <v>-0.20930000000000001</v>
      </c>
      <c r="I14" s="2">
        <v>-21.49</v>
      </c>
      <c r="J14" s="2">
        <v>50</v>
      </c>
      <c r="K14" s="2">
        <v>18.21</v>
      </c>
      <c r="L14" s="2">
        <v>18</v>
      </c>
      <c r="M14" s="2">
        <v>5</v>
      </c>
      <c r="N14" s="2">
        <v>12</v>
      </c>
      <c r="O14" s="2">
        <v>0</v>
      </c>
      <c r="P14" s="2">
        <v>4.38</v>
      </c>
      <c r="Q14" s="2">
        <v>0.22040000000000001</v>
      </c>
      <c r="R14" s="2">
        <v>-16.670000000000002</v>
      </c>
      <c r="S14" s="2">
        <v>55.32</v>
      </c>
      <c r="T14" s="2">
        <v>16.510000000000002</v>
      </c>
      <c r="U14" s="2">
        <v>14</v>
      </c>
      <c r="V14" s="2">
        <v>5</v>
      </c>
      <c r="W14" s="2">
        <v>8</v>
      </c>
      <c r="X14" s="2">
        <v>0</v>
      </c>
      <c r="Y14" s="2">
        <v>233.33</v>
      </c>
      <c r="Z14" s="2">
        <v>-35.51</v>
      </c>
      <c r="AA14" s="2">
        <v>-243.08</v>
      </c>
      <c r="AB14" s="2">
        <v>-228.96</v>
      </c>
      <c r="AC14" s="2">
        <v>2</v>
      </c>
      <c r="AD14" s="2">
        <v>0</v>
      </c>
      <c r="AE14" s="2">
        <v>20</v>
      </c>
      <c r="AF14" s="2" t="s">
        <v>43</v>
      </c>
      <c r="AG14" s="2" t="s">
        <v>90</v>
      </c>
      <c r="AH14" s="2">
        <v>7</v>
      </c>
      <c r="AI14" s="2">
        <v>40</v>
      </c>
    </row>
    <row r="15" spans="1:35" x14ac:dyDescent="0.3">
      <c r="A15" s="2" t="s">
        <v>91</v>
      </c>
      <c r="B15" s="2" t="s">
        <v>92</v>
      </c>
      <c r="C15" s="2" t="s">
        <v>38</v>
      </c>
      <c r="D15" s="2" t="s">
        <v>39</v>
      </c>
      <c r="E15" s="2" t="s">
        <v>93</v>
      </c>
      <c r="F15" s="2" t="s">
        <v>94</v>
      </c>
      <c r="G15" s="2">
        <v>19.329999999999998</v>
      </c>
      <c r="H15" s="2">
        <v>0.4274</v>
      </c>
      <c r="I15" s="2">
        <v>-28.7</v>
      </c>
      <c r="J15" s="2">
        <v>42.18</v>
      </c>
      <c r="K15" s="2">
        <v>39.01</v>
      </c>
      <c r="L15" s="2">
        <v>5</v>
      </c>
      <c r="M15" s="2">
        <v>0</v>
      </c>
      <c r="N15" s="2">
        <v>2</v>
      </c>
      <c r="O15" s="2">
        <v>2</v>
      </c>
      <c r="P15" s="2">
        <v>7.73</v>
      </c>
      <c r="Q15" s="2">
        <v>0.28839999999999999</v>
      </c>
      <c r="R15" s="2">
        <v>-28.7</v>
      </c>
      <c r="S15" s="2">
        <v>40.369999999999997</v>
      </c>
      <c r="T15" s="2">
        <v>39.299999999999997</v>
      </c>
      <c r="U15" s="2">
        <v>4</v>
      </c>
      <c r="V15" s="2">
        <v>0</v>
      </c>
      <c r="W15" s="2">
        <v>3</v>
      </c>
      <c r="X15" s="2">
        <v>0</v>
      </c>
      <c r="Y15" s="2">
        <v>-60.98</v>
      </c>
      <c r="Z15" s="2">
        <v>-76.23</v>
      </c>
      <c r="AA15" s="2">
        <v>80.319999999999993</v>
      </c>
      <c r="AB15" s="2">
        <v>68.72</v>
      </c>
      <c r="AC15" s="2">
        <v>2</v>
      </c>
      <c r="AD15" s="2">
        <v>0.25</v>
      </c>
      <c r="AE15" s="2">
        <v>60</v>
      </c>
      <c r="AF15" s="2" t="s">
        <v>74</v>
      </c>
      <c r="AG15" s="2" t="s">
        <v>75</v>
      </c>
      <c r="AH15" s="2">
        <v>7</v>
      </c>
      <c r="AI15" s="2">
        <v>25</v>
      </c>
    </row>
    <row r="16" spans="1:35" x14ac:dyDescent="0.3">
      <c r="A16" s="2" t="s">
        <v>95</v>
      </c>
      <c r="B16" s="2" t="s">
        <v>45</v>
      </c>
      <c r="C16" s="2" t="s">
        <v>52</v>
      </c>
      <c r="D16" s="2" t="s">
        <v>53</v>
      </c>
      <c r="E16" s="2" t="s">
        <v>96</v>
      </c>
      <c r="F16" s="2" t="s">
        <v>97</v>
      </c>
      <c r="G16" s="2">
        <v>188.49</v>
      </c>
      <c r="H16" s="2">
        <v>1.0972999999999999</v>
      </c>
      <c r="I16" s="2">
        <v>-36.93</v>
      </c>
      <c r="J16" s="2">
        <v>43.58</v>
      </c>
      <c r="K16" s="2">
        <v>74.900000000000006</v>
      </c>
      <c r="L16" s="2">
        <v>26</v>
      </c>
      <c r="M16" s="2">
        <v>0</v>
      </c>
      <c r="N16" s="2">
        <v>11</v>
      </c>
      <c r="O16" s="2">
        <v>15</v>
      </c>
      <c r="P16" s="2">
        <v>47.1</v>
      </c>
      <c r="Q16" s="2">
        <v>0.62439999999999996</v>
      </c>
      <c r="R16" s="2">
        <v>-50.67</v>
      </c>
      <c r="S16" s="2">
        <v>45.22</v>
      </c>
      <c r="T16" s="2">
        <v>54.13</v>
      </c>
      <c r="U16" s="2">
        <v>13</v>
      </c>
      <c r="V16" s="2">
        <v>0</v>
      </c>
      <c r="W16" s="2">
        <v>7</v>
      </c>
      <c r="X16" s="2">
        <v>6</v>
      </c>
      <c r="Y16" s="2">
        <v>-16.850000000000001</v>
      </c>
      <c r="Z16" s="2">
        <v>164.41</v>
      </c>
      <c r="AA16" s="2">
        <v>205.34</v>
      </c>
      <c r="AB16" s="2">
        <v>63.95</v>
      </c>
      <c r="AC16" s="2">
        <v>1.5</v>
      </c>
      <c r="AD16" s="2">
        <v>0.25</v>
      </c>
      <c r="AE16" s="2">
        <v>20</v>
      </c>
      <c r="AF16" s="2" t="s">
        <v>74</v>
      </c>
      <c r="AG16" s="2" t="s">
        <v>75</v>
      </c>
      <c r="AH16" s="2">
        <v>7</v>
      </c>
      <c r="AI16" s="2">
        <v>25</v>
      </c>
    </row>
    <row r="17" spans="1:35" x14ac:dyDescent="0.3">
      <c r="A17" s="2" t="s">
        <v>98</v>
      </c>
      <c r="B17" s="2" t="s">
        <v>77</v>
      </c>
      <c r="C17" s="2" t="s">
        <v>38</v>
      </c>
      <c r="D17" s="2" t="s">
        <v>39</v>
      </c>
      <c r="E17" s="2" t="s">
        <v>99</v>
      </c>
      <c r="F17" s="2" t="s">
        <v>100</v>
      </c>
      <c r="G17" s="2">
        <v>10.98</v>
      </c>
      <c r="H17" s="2">
        <v>0.34699999999999998</v>
      </c>
      <c r="I17" s="2">
        <v>-18.77</v>
      </c>
      <c r="J17" s="2">
        <v>49.47</v>
      </c>
      <c r="K17" s="2">
        <v>24.88</v>
      </c>
      <c r="L17" s="2">
        <v>14</v>
      </c>
      <c r="M17" s="2">
        <v>6</v>
      </c>
      <c r="N17" s="2">
        <v>8</v>
      </c>
      <c r="O17" s="2">
        <v>0</v>
      </c>
      <c r="P17" s="2">
        <v>6.93</v>
      </c>
      <c r="Q17" s="2">
        <v>0.26889999999999997</v>
      </c>
      <c r="R17" s="2">
        <v>-26.14</v>
      </c>
      <c r="S17" s="2">
        <v>47.62</v>
      </c>
      <c r="T17" s="2">
        <v>23.44</v>
      </c>
      <c r="U17" s="2">
        <v>11</v>
      </c>
      <c r="V17" s="2">
        <v>5</v>
      </c>
      <c r="W17" s="2">
        <v>6</v>
      </c>
      <c r="X17" s="2">
        <v>0</v>
      </c>
      <c r="Y17" s="2">
        <v>-38.520000000000003</v>
      </c>
      <c r="Z17" s="2">
        <v>21.57</v>
      </c>
      <c r="AA17" s="2">
        <v>49.51</v>
      </c>
      <c r="AB17" s="2">
        <v>45.45</v>
      </c>
      <c r="AC17" s="2">
        <v>2</v>
      </c>
      <c r="AD17" s="2">
        <v>0</v>
      </c>
      <c r="AE17" s="2">
        <v>60</v>
      </c>
      <c r="AF17" s="2" t="s">
        <v>65</v>
      </c>
      <c r="AG17" s="2" t="s">
        <v>49</v>
      </c>
      <c r="AH17" s="2">
        <v>7</v>
      </c>
      <c r="AI17" s="2">
        <v>40</v>
      </c>
    </row>
    <row r="18" spans="1:35" x14ac:dyDescent="0.3">
      <c r="A18" s="2" t="s">
        <v>101</v>
      </c>
      <c r="B18" s="2" t="s">
        <v>92</v>
      </c>
      <c r="C18" s="2" t="s">
        <v>52</v>
      </c>
      <c r="D18" s="2" t="s">
        <v>53</v>
      </c>
      <c r="E18" s="2" t="s">
        <v>102</v>
      </c>
      <c r="F18" s="2" t="s">
        <v>103</v>
      </c>
      <c r="G18" s="2">
        <v>-18.3</v>
      </c>
      <c r="H18" s="2">
        <v>-0.30230000000000001</v>
      </c>
      <c r="I18" s="2">
        <v>-31.77</v>
      </c>
      <c r="J18" s="2">
        <v>46.41</v>
      </c>
      <c r="K18" s="2">
        <v>25.18</v>
      </c>
      <c r="L18" s="2">
        <v>21</v>
      </c>
      <c r="M18" s="2">
        <v>6</v>
      </c>
      <c r="N18" s="2">
        <v>14</v>
      </c>
      <c r="O18" s="2">
        <v>0</v>
      </c>
      <c r="P18" s="2">
        <v>-7.45</v>
      </c>
      <c r="Q18" s="2">
        <v>-5.91E-2</v>
      </c>
      <c r="R18" s="2">
        <v>-22.17</v>
      </c>
      <c r="S18" s="2">
        <v>47.15</v>
      </c>
      <c r="T18" s="2">
        <v>23.48</v>
      </c>
      <c r="U18" s="2">
        <v>17</v>
      </c>
      <c r="V18" s="2">
        <v>5</v>
      </c>
      <c r="W18" s="2">
        <v>11</v>
      </c>
      <c r="X18" s="2">
        <v>0</v>
      </c>
      <c r="Y18" s="2">
        <v>-12.18</v>
      </c>
      <c r="Z18" s="2">
        <v>-5.68</v>
      </c>
      <c r="AA18" s="2">
        <v>-6.13</v>
      </c>
      <c r="AB18" s="2">
        <v>4.7300000000000004</v>
      </c>
      <c r="AC18" s="2">
        <v>1.5</v>
      </c>
      <c r="AD18" s="2">
        <v>0</v>
      </c>
      <c r="AE18" s="2">
        <v>60</v>
      </c>
      <c r="AF18" s="2" t="s">
        <v>65</v>
      </c>
      <c r="AG18" s="2" t="s">
        <v>49</v>
      </c>
      <c r="AH18" s="2">
        <v>7</v>
      </c>
      <c r="AI18" s="2">
        <v>40</v>
      </c>
    </row>
    <row r="19" spans="1:35" x14ac:dyDescent="0.3">
      <c r="A19" s="2" t="s">
        <v>104</v>
      </c>
      <c r="B19" s="2" t="s">
        <v>105</v>
      </c>
      <c r="C19" s="2" t="s">
        <v>52</v>
      </c>
      <c r="D19" s="2" t="s">
        <v>53</v>
      </c>
      <c r="E19" s="2" t="s">
        <v>106</v>
      </c>
      <c r="F19" s="2" t="s">
        <v>107</v>
      </c>
      <c r="G19" s="2">
        <v>-8.4</v>
      </c>
      <c r="H19" s="2">
        <v>-4.7199999999999999E-2</v>
      </c>
      <c r="I19" s="2">
        <v>-32.54</v>
      </c>
      <c r="J19" s="2">
        <v>35.590000000000003</v>
      </c>
      <c r="K19" s="2">
        <v>26.79</v>
      </c>
      <c r="L19" s="2">
        <v>17</v>
      </c>
      <c r="M19" s="2">
        <v>2</v>
      </c>
      <c r="N19" s="2">
        <v>5</v>
      </c>
      <c r="O19" s="2">
        <v>10</v>
      </c>
      <c r="P19" s="2">
        <v>-1.83</v>
      </c>
      <c r="Q19" s="2">
        <v>-6.6100000000000006E-2</v>
      </c>
      <c r="R19" s="2">
        <v>-10.43</v>
      </c>
      <c r="S19" s="2">
        <v>28.57</v>
      </c>
      <c r="T19" s="2">
        <v>8.9499999999999993</v>
      </c>
      <c r="U19" s="2">
        <v>3</v>
      </c>
      <c r="V19" s="2">
        <v>0</v>
      </c>
      <c r="W19" s="2">
        <v>1</v>
      </c>
      <c r="X19" s="2">
        <v>2</v>
      </c>
      <c r="Y19" s="2">
        <v>36.14</v>
      </c>
      <c r="Z19" s="2">
        <v>-6.76</v>
      </c>
      <c r="AA19" s="2">
        <v>-44.55</v>
      </c>
      <c r="AB19" s="2">
        <v>-37.97</v>
      </c>
      <c r="AC19" s="2">
        <v>2</v>
      </c>
      <c r="AD19" s="2">
        <v>0.5</v>
      </c>
      <c r="AE19" s="2">
        <v>40</v>
      </c>
      <c r="AF19" s="2" t="s">
        <v>48</v>
      </c>
      <c r="AG19" s="2" t="s">
        <v>60</v>
      </c>
      <c r="AH19" s="2">
        <v>14</v>
      </c>
      <c r="AI19" s="2">
        <v>25</v>
      </c>
    </row>
    <row r="20" spans="1:35" x14ac:dyDescent="0.3">
      <c r="A20" s="2" t="s">
        <v>108</v>
      </c>
      <c r="B20" s="2" t="s">
        <v>109</v>
      </c>
      <c r="C20" s="2" t="s">
        <v>52</v>
      </c>
      <c r="D20" s="2" t="s">
        <v>53</v>
      </c>
      <c r="E20" s="2" t="s">
        <v>110</v>
      </c>
      <c r="F20" s="2" t="s">
        <v>111</v>
      </c>
      <c r="G20" s="2">
        <v>52.82</v>
      </c>
      <c r="H20" s="2">
        <v>0.875</v>
      </c>
      <c r="I20" s="2">
        <v>-17.96</v>
      </c>
      <c r="J20" s="2">
        <v>51.72</v>
      </c>
      <c r="K20" s="2">
        <v>30.45</v>
      </c>
      <c r="L20" s="2">
        <v>16</v>
      </c>
      <c r="M20" s="2">
        <v>6</v>
      </c>
      <c r="N20" s="2">
        <v>7</v>
      </c>
      <c r="O20" s="2">
        <v>3</v>
      </c>
      <c r="P20" s="2">
        <v>-8.59</v>
      </c>
      <c r="Q20" s="2">
        <v>-0.31140000000000001</v>
      </c>
      <c r="R20" s="2">
        <v>-17.96</v>
      </c>
      <c r="S20" s="2">
        <v>42.86</v>
      </c>
      <c r="T20" s="2">
        <v>12.74</v>
      </c>
      <c r="U20" s="2">
        <v>10</v>
      </c>
      <c r="V20" s="2">
        <v>2</v>
      </c>
      <c r="W20" s="2">
        <v>5</v>
      </c>
      <c r="X20" s="2">
        <v>3</v>
      </c>
      <c r="Y20" s="2">
        <v>74.790000000000006</v>
      </c>
      <c r="Z20" s="2">
        <v>-61.66</v>
      </c>
      <c r="AA20" s="2">
        <v>-21.97</v>
      </c>
      <c r="AB20" s="2">
        <v>-83.38</v>
      </c>
      <c r="AC20" s="2">
        <v>2</v>
      </c>
      <c r="AD20" s="2">
        <v>0.25</v>
      </c>
      <c r="AE20" s="2">
        <v>20</v>
      </c>
      <c r="AF20" s="2" t="s">
        <v>65</v>
      </c>
      <c r="AG20" s="2" t="s">
        <v>49</v>
      </c>
      <c r="AH20" s="2">
        <v>7</v>
      </c>
      <c r="AI20" s="2">
        <v>40</v>
      </c>
    </row>
    <row r="21" spans="1:35" x14ac:dyDescent="0.3">
      <c r="A21" s="2" t="s">
        <v>112</v>
      </c>
      <c r="B21" s="2" t="s">
        <v>67</v>
      </c>
      <c r="C21" s="2" t="s">
        <v>113</v>
      </c>
      <c r="D21" s="2" t="s">
        <v>39</v>
      </c>
      <c r="E21" s="2" t="s">
        <v>114</v>
      </c>
      <c r="F21" s="2" t="s">
        <v>115</v>
      </c>
      <c r="G21" s="2">
        <v>-16.95</v>
      </c>
      <c r="H21" s="2">
        <v>-0.26889999999999997</v>
      </c>
      <c r="I21" s="2">
        <v>-32.869999999999997</v>
      </c>
      <c r="J21" s="2">
        <v>46.09</v>
      </c>
      <c r="K21" s="2">
        <v>25.17</v>
      </c>
      <c r="L21" s="2">
        <v>13</v>
      </c>
      <c r="M21" s="2">
        <v>0</v>
      </c>
      <c r="N21" s="2">
        <v>6</v>
      </c>
      <c r="O21" s="2">
        <v>6</v>
      </c>
      <c r="P21" s="2">
        <v>-8.17</v>
      </c>
      <c r="Q21" s="2">
        <v>-0.30969999999999998</v>
      </c>
      <c r="R21" s="2">
        <v>-17.489999999999998</v>
      </c>
      <c r="S21" s="2">
        <v>50</v>
      </c>
      <c r="T21" s="2">
        <v>12.24</v>
      </c>
      <c r="U21" s="2">
        <v>7</v>
      </c>
      <c r="V21" s="2">
        <v>0</v>
      </c>
      <c r="W21" s="2">
        <v>3</v>
      </c>
      <c r="X21" s="2">
        <v>3</v>
      </c>
      <c r="Y21" s="2">
        <v>-4.42</v>
      </c>
      <c r="Z21" s="2">
        <v>-3.73</v>
      </c>
      <c r="AA21" s="2">
        <v>-12.53</v>
      </c>
      <c r="AB21" s="2">
        <v>-3.75</v>
      </c>
      <c r="AC21" s="2">
        <v>2</v>
      </c>
      <c r="AD21" s="2">
        <v>0.25</v>
      </c>
      <c r="AE21" s="2">
        <v>60</v>
      </c>
      <c r="AF21" s="2" t="s">
        <v>74</v>
      </c>
      <c r="AG21" s="2" t="s">
        <v>75</v>
      </c>
      <c r="AH21" s="2">
        <v>10</v>
      </c>
      <c r="AI21" s="2">
        <v>40</v>
      </c>
    </row>
    <row r="22" spans="1:35" x14ac:dyDescent="0.3">
      <c r="A22" s="2" t="s">
        <v>116</v>
      </c>
      <c r="B22" s="2" t="s">
        <v>105</v>
      </c>
      <c r="C22" s="2" t="s">
        <v>38</v>
      </c>
      <c r="D22" s="2" t="s">
        <v>39</v>
      </c>
      <c r="E22" s="2" t="s">
        <v>117</v>
      </c>
      <c r="F22" s="2" t="s">
        <v>118</v>
      </c>
      <c r="G22" s="2">
        <v>12.27</v>
      </c>
      <c r="H22" s="2">
        <v>0.58789999999999998</v>
      </c>
      <c r="I22" s="2">
        <v>-15.34</v>
      </c>
      <c r="J22" s="2">
        <v>62.96</v>
      </c>
      <c r="K22" s="2">
        <v>11.64</v>
      </c>
      <c r="L22" s="2">
        <v>6</v>
      </c>
      <c r="M22" s="2">
        <v>3</v>
      </c>
      <c r="N22" s="2">
        <v>2</v>
      </c>
      <c r="O22" s="2">
        <v>0</v>
      </c>
      <c r="P22" s="2">
        <v>59.08</v>
      </c>
      <c r="Q22" s="2">
        <v>1.0558000000000001</v>
      </c>
      <c r="R22" s="2">
        <v>-2.27</v>
      </c>
      <c r="S22" s="2">
        <v>76.92</v>
      </c>
      <c r="T22" s="2">
        <v>26.09</v>
      </c>
      <c r="U22" s="2">
        <v>3</v>
      </c>
      <c r="V22" s="2">
        <v>3</v>
      </c>
      <c r="W22" s="2">
        <v>0</v>
      </c>
      <c r="X22" s="2">
        <v>0</v>
      </c>
      <c r="Y22" s="2">
        <v>-24.83</v>
      </c>
      <c r="Z22" s="2">
        <v>36.909999999999997</v>
      </c>
      <c r="AA22" s="2">
        <v>37.1</v>
      </c>
      <c r="AB22" s="2">
        <v>83.92</v>
      </c>
      <c r="AC22" s="2">
        <v>1.5</v>
      </c>
      <c r="AD22" s="2">
        <v>0</v>
      </c>
      <c r="AE22" s="2">
        <v>60</v>
      </c>
      <c r="AF22" s="2" t="s">
        <v>43</v>
      </c>
      <c r="AG22" s="2" t="s">
        <v>90</v>
      </c>
      <c r="AH22" s="2">
        <v>7</v>
      </c>
      <c r="AI22" s="2">
        <v>25</v>
      </c>
    </row>
    <row r="23" spans="1:35" x14ac:dyDescent="0.3">
      <c r="A23" s="2" t="s">
        <v>119</v>
      </c>
      <c r="B23" s="2" t="s">
        <v>57</v>
      </c>
      <c r="C23" s="2" t="s">
        <v>52</v>
      </c>
      <c r="D23" s="2" t="s">
        <v>53</v>
      </c>
      <c r="E23" s="2" t="s">
        <v>120</v>
      </c>
      <c r="F23" s="2" t="s">
        <v>121</v>
      </c>
      <c r="G23" s="2">
        <v>-4.0199999999999996</v>
      </c>
      <c r="H23" s="2">
        <v>6.7000000000000004E-2</v>
      </c>
      <c r="I23" s="2">
        <v>-38.22</v>
      </c>
      <c r="J23" s="2">
        <v>48.04</v>
      </c>
      <c r="K23" s="2">
        <v>30.55</v>
      </c>
      <c r="L23" s="2">
        <v>44</v>
      </c>
      <c r="M23" s="2">
        <v>6</v>
      </c>
      <c r="N23" s="2">
        <v>25</v>
      </c>
      <c r="O23" s="2">
        <v>13</v>
      </c>
      <c r="P23" s="2">
        <v>24.32</v>
      </c>
      <c r="Q23" s="2">
        <v>0.5282</v>
      </c>
      <c r="R23" s="2">
        <v>-23.02</v>
      </c>
      <c r="S23" s="2">
        <v>52.11</v>
      </c>
      <c r="T23" s="2">
        <v>29.18</v>
      </c>
      <c r="U23" s="2">
        <v>31</v>
      </c>
      <c r="V23" s="2">
        <v>3</v>
      </c>
      <c r="W23" s="2">
        <v>15</v>
      </c>
      <c r="X23" s="2">
        <v>13</v>
      </c>
      <c r="Y23" s="2">
        <v>92.68</v>
      </c>
      <c r="Z23" s="2">
        <v>5.63</v>
      </c>
      <c r="AA23" s="2">
        <v>-96.69</v>
      </c>
      <c r="AB23" s="2">
        <v>-68.349999999999994</v>
      </c>
      <c r="AC23" s="2">
        <v>1.5</v>
      </c>
      <c r="AD23" s="2">
        <v>0.5</v>
      </c>
      <c r="AE23" s="2">
        <v>20</v>
      </c>
      <c r="AF23" s="2" t="s">
        <v>42</v>
      </c>
      <c r="AG23" s="2" t="s">
        <v>65</v>
      </c>
      <c r="AH23" s="2">
        <v>7</v>
      </c>
      <c r="AI23" s="2">
        <v>40</v>
      </c>
    </row>
    <row r="24" spans="1:35" x14ac:dyDescent="0.3">
      <c r="A24" s="2" t="s">
        <v>122</v>
      </c>
      <c r="B24" s="2" t="s">
        <v>51</v>
      </c>
      <c r="C24" s="2" t="s">
        <v>38</v>
      </c>
      <c r="D24" s="2" t="s">
        <v>39</v>
      </c>
      <c r="E24" s="2" t="s">
        <v>123</v>
      </c>
      <c r="F24" s="2" t="s">
        <v>124</v>
      </c>
      <c r="G24" s="2">
        <v>-9.82</v>
      </c>
      <c r="H24" s="2">
        <v>-0.1993</v>
      </c>
      <c r="I24" s="2">
        <v>-27.68</v>
      </c>
      <c r="J24" s="2">
        <v>40.29</v>
      </c>
      <c r="K24" s="2">
        <v>18.829999999999998</v>
      </c>
      <c r="L24" s="2">
        <v>13</v>
      </c>
      <c r="M24" s="2">
        <v>0</v>
      </c>
      <c r="N24" s="2">
        <v>8</v>
      </c>
      <c r="O24" s="2">
        <v>4</v>
      </c>
      <c r="P24" s="2">
        <v>1.03</v>
      </c>
      <c r="Q24" s="2">
        <v>0.1085</v>
      </c>
      <c r="R24" s="2">
        <v>-7.86</v>
      </c>
      <c r="S24" s="2">
        <v>47.06</v>
      </c>
      <c r="T24" s="2">
        <v>7.75</v>
      </c>
      <c r="U24" s="2">
        <v>5</v>
      </c>
      <c r="V24" s="2">
        <v>0</v>
      </c>
      <c r="W24" s="2">
        <v>3</v>
      </c>
      <c r="X24" s="2">
        <v>2</v>
      </c>
      <c r="Y24" s="2">
        <v>15.29</v>
      </c>
      <c r="Z24" s="2">
        <v>-17.28</v>
      </c>
      <c r="AA24" s="2">
        <v>-25.11</v>
      </c>
      <c r="AB24" s="2">
        <v>-14.27</v>
      </c>
      <c r="AC24" s="2">
        <v>2</v>
      </c>
      <c r="AD24" s="2">
        <v>0.25</v>
      </c>
      <c r="AE24" s="2">
        <v>60</v>
      </c>
      <c r="AF24" s="2" t="s">
        <v>43</v>
      </c>
      <c r="AG24" s="2" t="s">
        <v>75</v>
      </c>
      <c r="AH24" s="2">
        <v>14</v>
      </c>
      <c r="AI24" s="2">
        <v>25</v>
      </c>
    </row>
    <row r="25" spans="1:35" x14ac:dyDescent="0.3">
      <c r="A25" s="2" t="s">
        <v>125</v>
      </c>
      <c r="B25" s="2" t="s">
        <v>81</v>
      </c>
      <c r="C25" s="2" t="s">
        <v>52</v>
      </c>
      <c r="D25" s="2" t="s">
        <v>53</v>
      </c>
      <c r="E25" s="2" t="s">
        <v>126</v>
      </c>
      <c r="F25" s="2" t="s">
        <v>127</v>
      </c>
      <c r="G25" s="2">
        <v>2.7</v>
      </c>
      <c r="H25" s="2">
        <v>0.1976</v>
      </c>
      <c r="I25" s="2">
        <v>-45.02</v>
      </c>
      <c r="J25" s="2">
        <v>51.64</v>
      </c>
      <c r="K25" s="2">
        <v>30.45</v>
      </c>
      <c r="L25" s="2">
        <v>39</v>
      </c>
      <c r="M25" s="2">
        <v>9</v>
      </c>
      <c r="N25" s="2">
        <v>16</v>
      </c>
      <c r="O25" s="2">
        <v>14</v>
      </c>
      <c r="P25" s="2">
        <v>24.39</v>
      </c>
      <c r="Q25" s="2">
        <v>0.59179999999999999</v>
      </c>
      <c r="R25" s="2">
        <v>-41.66</v>
      </c>
      <c r="S25" s="2">
        <v>60.87</v>
      </c>
      <c r="T25" s="2">
        <v>24.84</v>
      </c>
      <c r="U25" s="2">
        <v>21</v>
      </c>
      <c r="V25" s="2">
        <v>8</v>
      </c>
      <c r="W25" s="2">
        <v>8</v>
      </c>
      <c r="X25" s="2">
        <v>5</v>
      </c>
      <c r="Y25" s="2">
        <v>126.89</v>
      </c>
      <c r="Z25" s="2">
        <v>9</v>
      </c>
      <c r="AA25" s="2">
        <v>-124.19</v>
      </c>
      <c r="AB25" s="2">
        <v>-102.5</v>
      </c>
      <c r="AC25" s="2">
        <v>1.5</v>
      </c>
      <c r="AD25" s="2">
        <v>0.5</v>
      </c>
      <c r="AE25" s="2">
        <v>20</v>
      </c>
      <c r="AF25" s="2" t="s">
        <v>43</v>
      </c>
      <c r="AG25" s="2" t="s">
        <v>90</v>
      </c>
      <c r="AH25" s="2">
        <v>10</v>
      </c>
      <c r="AI25" s="2">
        <v>40</v>
      </c>
    </row>
    <row r="26" spans="1:35" x14ac:dyDescent="0.3">
      <c r="A26" s="2" t="s">
        <v>128</v>
      </c>
      <c r="B26" s="2" t="s">
        <v>109</v>
      </c>
      <c r="C26" s="2" t="s">
        <v>38</v>
      </c>
      <c r="D26" s="2" t="s">
        <v>39</v>
      </c>
      <c r="E26" s="2" t="s">
        <v>129</v>
      </c>
      <c r="F26" s="2" t="s">
        <v>130</v>
      </c>
      <c r="G26" s="2">
        <v>76.53</v>
      </c>
      <c r="H26" s="2">
        <v>1.2794000000000001</v>
      </c>
      <c r="I26" s="2">
        <v>-8.32</v>
      </c>
      <c r="J26" s="2">
        <v>51.08</v>
      </c>
      <c r="K26" s="2">
        <v>26.11</v>
      </c>
      <c r="L26" s="2">
        <v>39</v>
      </c>
      <c r="M26" s="2">
        <v>5</v>
      </c>
      <c r="N26" s="2">
        <v>11</v>
      </c>
      <c r="O26" s="2">
        <v>23</v>
      </c>
      <c r="P26" s="2">
        <v>30.72</v>
      </c>
      <c r="Q26" s="2">
        <v>1.1095999999999999</v>
      </c>
      <c r="R26" s="2">
        <v>-6.81</v>
      </c>
      <c r="S26" s="2">
        <v>52.69</v>
      </c>
      <c r="T26" s="2">
        <v>13.69</v>
      </c>
      <c r="U26" s="2">
        <v>23</v>
      </c>
      <c r="V26" s="2">
        <v>3</v>
      </c>
      <c r="W26" s="2">
        <v>6</v>
      </c>
      <c r="X26" s="2">
        <v>14</v>
      </c>
      <c r="Y26" s="2">
        <v>-11.86</v>
      </c>
      <c r="Z26" s="2">
        <v>11.38</v>
      </c>
      <c r="AA26" s="2">
        <v>88.4</v>
      </c>
      <c r="AB26" s="2">
        <v>42.58</v>
      </c>
      <c r="AC26" s="2">
        <v>1.5</v>
      </c>
      <c r="AD26" s="2">
        <v>0.5</v>
      </c>
      <c r="AE26" s="2">
        <v>20</v>
      </c>
      <c r="AF26" s="2" t="s">
        <v>42</v>
      </c>
      <c r="AG26" s="2" t="s">
        <v>65</v>
      </c>
      <c r="AH26" s="2">
        <v>14</v>
      </c>
      <c r="AI26" s="2">
        <v>40</v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0" customWidth="1"/>
    <col min="2" max="2" width="15" customWidth="1"/>
    <col min="3" max="3" width="22" customWidth="1"/>
    <col min="4" max="5" width="23" customWidth="1"/>
    <col min="6" max="8" width="22" customWidth="1"/>
    <col min="9" max="9" width="18" customWidth="1"/>
  </cols>
  <sheetData>
    <row r="1" spans="1:10" ht="16.8" x14ac:dyDescent="0.3">
      <c r="A1" s="8" t="s">
        <v>131</v>
      </c>
      <c r="B1" s="9"/>
      <c r="C1" s="9"/>
      <c r="D1" s="9"/>
      <c r="E1" s="9"/>
      <c r="F1" s="9"/>
      <c r="G1" s="9"/>
      <c r="H1" s="9"/>
      <c r="I1" s="9"/>
    </row>
    <row r="3" spans="1:10" x14ac:dyDescent="0.3">
      <c r="A3" s="1" t="s">
        <v>3</v>
      </c>
      <c r="B3" s="1" t="s">
        <v>132</v>
      </c>
      <c r="C3" s="1" t="s">
        <v>133</v>
      </c>
      <c r="D3" s="1" t="s">
        <v>134</v>
      </c>
      <c r="E3" s="1" t="s">
        <v>135</v>
      </c>
      <c r="F3" s="1" t="s">
        <v>136</v>
      </c>
      <c r="G3" s="1" t="s">
        <v>137</v>
      </c>
      <c r="H3" s="1" t="s">
        <v>138</v>
      </c>
      <c r="I3" s="1" t="s">
        <v>139</v>
      </c>
    </row>
    <row r="4" spans="1:10" x14ac:dyDescent="0.3">
      <c r="A4" s="2" t="s">
        <v>113</v>
      </c>
      <c r="B4" s="2">
        <v>11</v>
      </c>
      <c r="C4" s="3">
        <v>56.033636363636347</v>
      </c>
      <c r="D4" s="2">
        <v>0.4936454545454545</v>
      </c>
      <c r="E4" s="2">
        <v>-22.33</v>
      </c>
      <c r="F4" s="2">
        <v>48.156363636363643</v>
      </c>
      <c r="G4" s="2">
        <v>25.217272727272729</v>
      </c>
      <c r="H4" s="2">
        <v>13.54545454545454</v>
      </c>
      <c r="I4" s="2">
        <v>7</v>
      </c>
    </row>
    <row r="5" spans="1:10" x14ac:dyDescent="0.3">
      <c r="A5" s="2" t="s">
        <v>68</v>
      </c>
      <c r="B5" s="2">
        <v>11</v>
      </c>
      <c r="C5" s="3">
        <v>55.067272727272723</v>
      </c>
      <c r="D5" s="2">
        <v>0.46329090909090898</v>
      </c>
      <c r="E5" s="2">
        <v>-23.01</v>
      </c>
      <c r="F5" s="2">
        <v>47.897272727272728</v>
      </c>
      <c r="G5" s="2">
        <v>25.095454545454551</v>
      </c>
      <c r="H5" s="2">
        <v>14.90909090909091</v>
      </c>
      <c r="I5" s="2">
        <v>7</v>
      </c>
    </row>
    <row r="6" spans="1:10" x14ac:dyDescent="0.3">
      <c r="A6" s="2" t="s">
        <v>52</v>
      </c>
      <c r="B6" s="2">
        <v>11</v>
      </c>
      <c r="C6" s="3">
        <v>28.355454545454549</v>
      </c>
      <c r="D6" s="2">
        <v>0.35601818181818179</v>
      </c>
      <c r="E6" s="2">
        <v>-31.123636363636361</v>
      </c>
      <c r="F6" s="2">
        <v>47.795454545454547</v>
      </c>
      <c r="G6" s="2">
        <v>31.40909090909091</v>
      </c>
      <c r="H6" s="2">
        <v>24.72727272727273</v>
      </c>
      <c r="I6" s="2">
        <v>6</v>
      </c>
    </row>
    <row r="8" spans="1:10" x14ac:dyDescent="0.3">
      <c r="A8" s="4" t="s">
        <v>140</v>
      </c>
    </row>
    <row r="10" spans="1:10" x14ac:dyDescent="0.3">
      <c r="A10" t="s">
        <v>113</v>
      </c>
      <c r="B10" t="s">
        <v>36</v>
      </c>
      <c r="C10" t="s">
        <v>37</v>
      </c>
      <c r="D10">
        <v>-0.88</v>
      </c>
      <c r="E10">
        <v>8.0000000000000004E-4</v>
      </c>
      <c r="F10">
        <v>-14.89</v>
      </c>
      <c r="G10">
        <v>36.840000000000003</v>
      </c>
      <c r="H10">
        <v>9.9499999999999993</v>
      </c>
      <c r="I10">
        <v>7</v>
      </c>
      <c r="J10">
        <v>14.84</v>
      </c>
    </row>
    <row r="11" spans="1:10" x14ac:dyDescent="0.3">
      <c r="A11" t="s">
        <v>113</v>
      </c>
      <c r="B11" t="s">
        <v>44</v>
      </c>
      <c r="C11" t="s">
        <v>45</v>
      </c>
      <c r="D11">
        <v>-1.33</v>
      </c>
      <c r="E11">
        <v>0.1361</v>
      </c>
      <c r="F11">
        <v>-29.59</v>
      </c>
      <c r="G11">
        <v>49.84</v>
      </c>
      <c r="H11">
        <v>30.33</v>
      </c>
      <c r="I11">
        <v>12</v>
      </c>
      <c r="J11">
        <v>25.98</v>
      </c>
    </row>
    <row r="12" spans="1:10" x14ac:dyDescent="0.3">
      <c r="A12" t="s">
        <v>113</v>
      </c>
      <c r="B12" t="s">
        <v>56</v>
      </c>
      <c r="C12" t="s">
        <v>57</v>
      </c>
      <c r="D12">
        <v>42.49</v>
      </c>
      <c r="E12">
        <v>1.0291999999999999</v>
      </c>
      <c r="F12">
        <v>-14.61</v>
      </c>
      <c r="G12">
        <v>48.44</v>
      </c>
      <c r="H12">
        <v>20.3</v>
      </c>
      <c r="I12">
        <v>13</v>
      </c>
      <c r="J12">
        <v>74.150000000000006</v>
      </c>
    </row>
    <row r="13" spans="1:10" x14ac:dyDescent="0.3">
      <c r="A13" t="s">
        <v>113</v>
      </c>
      <c r="B13" t="s">
        <v>71</v>
      </c>
      <c r="C13" t="s">
        <v>62</v>
      </c>
      <c r="D13">
        <v>483.72</v>
      </c>
      <c r="E13">
        <v>2.0032999999999999</v>
      </c>
      <c r="F13">
        <v>-34.869999999999997</v>
      </c>
      <c r="G13">
        <v>49.15</v>
      </c>
      <c r="H13">
        <v>53.76</v>
      </c>
      <c r="I13">
        <v>18</v>
      </c>
      <c r="J13">
        <v>466.44</v>
      </c>
    </row>
    <row r="14" spans="1:10" x14ac:dyDescent="0.3">
      <c r="A14" t="s">
        <v>113</v>
      </c>
      <c r="B14" t="s">
        <v>80</v>
      </c>
      <c r="C14" t="s">
        <v>81</v>
      </c>
      <c r="D14">
        <v>0.03</v>
      </c>
      <c r="E14">
        <v>8.72E-2</v>
      </c>
      <c r="F14">
        <v>-19.989999999999998</v>
      </c>
      <c r="G14">
        <v>53.38</v>
      </c>
      <c r="H14">
        <v>17.41</v>
      </c>
      <c r="I14">
        <v>9</v>
      </c>
      <c r="J14">
        <v>-907.66</v>
      </c>
    </row>
    <row r="15" spans="1:10" x14ac:dyDescent="0.3">
      <c r="A15" t="s">
        <v>113</v>
      </c>
      <c r="B15" t="s">
        <v>91</v>
      </c>
      <c r="C15" t="s">
        <v>92</v>
      </c>
      <c r="D15">
        <v>19.329999999999998</v>
      </c>
      <c r="E15">
        <v>0.4274</v>
      </c>
      <c r="F15">
        <v>-28.7</v>
      </c>
      <c r="G15">
        <v>42.18</v>
      </c>
      <c r="H15">
        <v>39.01</v>
      </c>
      <c r="I15">
        <v>5</v>
      </c>
      <c r="J15">
        <v>80.319999999999993</v>
      </c>
    </row>
    <row r="16" spans="1:10" x14ac:dyDescent="0.3">
      <c r="A16" t="s">
        <v>113</v>
      </c>
      <c r="B16" t="s">
        <v>98</v>
      </c>
      <c r="C16" t="s">
        <v>77</v>
      </c>
      <c r="D16">
        <v>10.98</v>
      </c>
      <c r="E16">
        <v>0.34699999999999998</v>
      </c>
      <c r="F16">
        <v>-18.77</v>
      </c>
      <c r="G16">
        <v>49.47</v>
      </c>
      <c r="H16">
        <v>24.88</v>
      </c>
      <c r="I16">
        <v>14</v>
      </c>
      <c r="J16">
        <v>49.51</v>
      </c>
    </row>
    <row r="17" spans="1:10" x14ac:dyDescent="0.3">
      <c r="A17" t="s">
        <v>113</v>
      </c>
      <c r="B17" t="s">
        <v>112</v>
      </c>
      <c r="C17" t="s">
        <v>67</v>
      </c>
      <c r="D17">
        <v>-16.95</v>
      </c>
      <c r="E17">
        <v>-0.26889999999999997</v>
      </c>
      <c r="F17">
        <v>-32.869999999999997</v>
      </c>
      <c r="G17">
        <v>46.09</v>
      </c>
      <c r="H17">
        <v>25.17</v>
      </c>
      <c r="I17">
        <v>13</v>
      </c>
      <c r="J17">
        <v>-12.53</v>
      </c>
    </row>
    <row r="18" spans="1:10" x14ac:dyDescent="0.3">
      <c r="A18" t="s">
        <v>113</v>
      </c>
      <c r="B18" t="s">
        <v>116</v>
      </c>
      <c r="C18" t="s">
        <v>105</v>
      </c>
      <c r="D18">
        <v>12.27</v>
      </c>
      <c r="E18">
        <v>0.58789999999999998</v>
      </c>
      <c r="F18">
        <v>-15.34</v>
      </c>
      <c r="G18">
        <v>62.96</v>
      </c>
      <c r="H18">
        <v>11.64</v>
      </c>
      <c r="I18">
        <v>6</v>
      </c>
      <c r="J18">
        <v>37.1</v>
      </c>
    </row>
    <row r="19" spans="1:10" x14ac:dyDescent="0.3">
      <c r="A19" t="s">
        <v>113</v>
      </c>
      <c r="B19" t="s">
        <v>122</v>
      </c>
      <c r="C19" t="s">
        <v>51</v>
      </c>
      <c r="D19">
        <v>-9.82</v>
      </c>
      <c r="E19">
        <v>-0.1993</v>
      </c>
      <c r="F19">
        <v>-27.68</v>
      </c>
      <c r="G19">
        <v>40.29</v>
      </c>
      <c r="H19">
        <v>18.829999999999998</v>
      </c>
      <c r="I19">
        <v>13</v>
      </c>
      <c r="J19">
        <v>-25.11</v>
      </c>
    </row>
    <row r="20" spans="1:10" x14ac:dyDescent="0.3">
      <c r="A20" t="s">
        <v>113</v>
      </c>
      <c r="B20" t="s">
        <v>128</v>
      </c>
      <c r="C20" t="s">
        <v>109</v>
      </c>
      <c r="D20">
        <v>76.53</v>
      </c>
      <c r="E20">
        <v>1.2794000000000001</v>
      </c>
      <c r="F20">
        <v>-8.32</v>
      </c>
      <c r="G20">
        <v>51.08</v>
      </c>
      <c r="H20">
        <v>26.11</v>
      </c>
      <c r="I20">
        <v>39</v>
      </c>
      <c r="J20">
        <v>88.4</v>
      </c>
    </row>
    <row r="21" spans="1:10" x14ac:dyDescent="0.3">
      <c r="A21" t="s">
        <v>68</v>
      </c>
      <c r="B21" t="s">
        <v>36</v>
      </c>
      <c r="C21" t="s">
        <v>37</v>
      </c>
      <c r="D21">
        <v>-0.88</v>
      </c>
      <c r="E21">
        <v>8.0000000000000004E-4</v>
      </c>
      <c r="F21">
        <v>-14.89</v>
      </c>
      <c r="G21">
        <v>36.840000000000003</v>
      </c>
      <c r="H21">
        <v>9.9499999999999993</v>
      </c>
      <c r="I21">
        <v>7</v>
      </c>
      <c r="J21">
        <v>14.84</v>
      </c>
    </row>
    <row r="22" spans="1:10" x14ac:dyDescent="0.3">
      <c r="A22" t="s">
        <v>68</v>
      </c>
      <c r="B22" t="s">
        <v>44</v>
      </c>
      <c r="C22" t="s">
        <v>45</v>
      </c>
      <c r="D22">
        <v>-1.33</v>
      </c>
      <c r="E22">
        <v>0.1361</v>
      </c>
      <c r="F22">
        <v>-29.59</v>
      </c>
      <c r="G22">
        <v>49.84</v>
      </c>
      <c r="H22">
        <v>30.33</v>
      </c>
      <c r="I22">
        <v>12</v>
      </c>
      <c r="J22">
        <v>25.98</v>
      </c>
    </row>
    <row r="23" spans="1:10" x14ac:dyDescent="0.3">
      <c r="A23" t="s">
        <v>68</v>
      </c>
      <c r="B23" t="s">
        <v>56</v>
      </c>
      <c r="C23" t="s">
        <v>57</v>
      </c>
      <c r="D23">
        <v>42.49</v>
      </c>
      <c r="E23">
        <v>1.0291999999999999</v>
      </c>
      <c r="F23">
        <v>-14.61</v>
      </c>
      <c r="G23">
        <v>48.44</v>
      </c>
      <c r="H23">
        <v>20.3</v>
      </c>
      <c r="I23">
        <v>13</v>
      </c>
      <c r="J23">
        <v>74.150000000000006</v>
      </c>
    </row>
    <row r="24" spans="1:10" x14ac:dyDescent="0.3">
      <c r="A24" t="s">
        <v>68</v>
      </c>
      <c r="B24" t="s">
        <v>66</v>
      </c>
      <c r="C24" t="s">
        <v>67</v>
      </c>
      <c r="D24">
        <v>-27.58</v>
      </c>
      <c r="E24">
        <v>-0.6028</v>
      </c>
      <c r="F24">
        <v>-40.35</v>
      </c>
      <c r="G24">
        <v>43.24</v>
      </c>
      <c r="H24">
        <v>23.83</v>
      </c>
      <c r="I24">
        <v>28</v>
      </c>
      <c r="J24">
        <v>-8.8800000000000008</v>
      </c>
    </row>
    <row r="25" spans="1:10" x14ac:dyDescent="0.3">
      <c r="A25" t="s">
        <v>68</v>
      </c>
      <c r="B25" t="s">
        <v>71</v>
      </c>
      <c r="C25" t="s">
        <v>62</v>
      </c>
      <c r="D25">
        <v>483.72</v>
      </c>
      <c r="E25">
        <v>2.0032999999999999</v>
      </c>
      <c r="F25">
        <v>-34.869999999999997</v>
      </c>
      <c r="G25">
        <v>49.15</v>
      </c>
      <c r="H25">
        <v>53.76</v>
      </c>
      <c r="I25">
        <v>18</v>
      </c>
      <c r="J25">
        <v>466.44</v>
      </c>
    </row>
    <row r="26" spans="1:10" x14ac:dyDescent="0.3">
      <c r="A26" t="s">
        <v>68</v>
      </c>
      <c r="B26" t="s">
        <v>80</v>
      </c>
      <c r="C26" t="s">
        <v>81</v>
      </c>
      <c r="D26">
        <v>0.03</v>
      </c>
      <c r="E26">
        <v>8.72E-2</v>
      </c>
      <c r="F26">
        <v>-19.989999999999998</v>
      </c>
      <c r="G26">
        <v>53.38</v>
      </c>
      <c r="H26">
        <v>17.41</v>
      </c>
      <c r="I26">
        <v>9</v>
      </c>
      <c r="J26">
        <v>-907.66</v>
      </c>
    </row>
    <row r="27" spans="1:10" x14ac:dyDescent="0.3">
      <c r="A27" t="s">
        <v>68</v>
      </c>
      <c r="B27" t="s">
        <v>91</v>
      </c>
      <c r="C27" t="s">
        <v>92</v>
      </c>
      <c r="D27">
        <v>19.329999999999998</v>
      </c>
      <c r="E27">
        <v>0.4274</v>
      </c>
      <c r="F27">
        <v>-28.7</v>
      </c>
      <c r="G27">
        <v>42.18</v>
      </c>
      <c r="H27">
        <v>39.01</v>
      </c>
      <c r="I27">
        <v>5</v>
      </c>
      <c r="J27">
        <v>80.319999999999993</v>
      </c>
    </row>
    <row r="28" spans="1:10" x14ac:dyDescent="0.3">
      <c r="A28" t="s">
        <v>68</v>
      </c>
      <c r="B28" t="s">
        <v>98</v>
      </c>
      <c r="C28" t="s">
        <v>77</v>
      </c>
      <c r="D28">
        <v>10.98</v>
      </c>
      <c r="E28">
        <v>0.34699999999999998</v>
      </c>
      <c r="F28">
        <v>-18.77</v>
      </c>
      <c r="G28">
        <v>49.47</v>
      </c>
      <c r="H28">
        <v>24.88</v>
      </c>
      <c r="I28">
        <v>14</v>
      </c>
      <c r="J28">
        <v>49.51</v>
      </c>
    </row>
    <row r="29" spans="1:10" x14ac:dyDescent="0.3">
      <c r="A29" t="s">
        <v>68</v>
      </c>
      <c r="B29" t="s">
        <v>116</v>
      </c>
      <c r="C29" t="s">
        <v>105</v>
      </c>
      <c r="D29">
        <v>12.27</v>
      </c>
      <c r="E29">
        <v>0.58789999999999998</v>
      </c>
      <c r="F29">
        <v>-15.34</v>
      </c>
      <c r="G29">
        <v>62.96</v>
      </c>
      <c r="H29">
        <v>11.64</v>
      </c>
      <c r="I29">
        <v>6</v>
      </c>
      <c r="J29">
        <v>37.1</v>
      </c>
    </row>
    <row r="30" spans="1:10" x14ac:dyDescent="0.3">
      <c r="A30" t="s">
        <v>68</v>
      </c>
      <c r="B30" t="s">
        <v>122</v>
      </c>
      <c r="C30" t="s">
        <v>51</v>
      </c>
      <c r="D30">
        <v>-9.82</v>
      </c>
      <c r="E30">
        <v>-0.1993</v>
      </c>
      <c r="F30">
        <v>-27.68</v>
      </c>
      <c r="G30">
        <v>40.29</v>
      </c>
      <c r="H30">
        <v>18.829999999999998</v>
      </c>
      <c r="I30">
        <v>13</v>
      </c>
      <c r="J30">
        <v>-25.11</v>
      </c>
    </row>
    <row r="31" spans="1:10" x14ac:dyDescent="0.3">
      <c r="A31" t="s">
        <v>68</v>
      </c>
      <c r="B31" t="s">
        <v>128</v>
      </c>
      <c r="C31" t="s">
        <v>109</v>
      </c>
      <c r="D31">
        <v>76.53</v>
      </c>
      <c r="E31">
        <v>1.2794000000000001</v>
      </c>
      <c r="F31">
        <v>-8.32</v>
      </c>
      <c r="G31">
        <v>51.08</v>
      </c>
      <c r="H31">
        <v>26.11</v>
      </c>
      <c r="I31">
        <v>39</v>
      </c>
      <c r="J31">
        <v>88.4</v>
      </c>
    </row>
    <row r="32" spans="1:10" x14ac:dyDescent="0.3">
      <c r="A32" t="s">
        <v>52</v>
      </c>
      <c r="B32" t="s">
        <v>50</v>
      </c>
      <c r="C32" t="s">
        <v>51</v>
      </c>
      <c r="D32">
        <v>-9.17</v>
      </c>
      <c r="E32">
        <v>-1.4999999999999999E-2</v>
      </c>
      <c r="F32">
        <v>-50.49</v>
      </c>
      <c r="G32">
        <v>42.68</v>
      </c>
      <c r="H32">
        <v>31.34</v>
      </c>
      <c r="I32">
        <v>24</v>
      </c>
      <c r="J32">
        <v>-243.43</v>
      </c>
    </row>
    <row r="33" spans="1:10" x14ac:dyDescent="0.3">
      <c r="A33" t="s">
        <v>52</v>
      </c>
      <c r="B33" t="s">
        <v>61</v>
      </c>
      <c r="C33" t="s">
        <v>62</v>
      </c>
      <c r="D33">
        <v>18.43</v>
      </c>
      <c r="E33">
        <v>0.76680000000000004</v>
      </c>
      <c r="F33">
        <v>-8.35</v>
      </c>
      <c r="G33">
        <v>48.65</v>
      </c>
      <c r="H33">
        <v>12.8</v>
      </c>
      <c r="I33">
        <v>10</v>
      </c>
      <c r="J33">
        <v>-16.510000000000002</v>
      </c>
    </row>
    <row r="34" spans="1:10" x14ac:dyDescent="0.3">
      <c r="A34" t="s">
        <v>52</v>
      </c>
      <c r="B34" t="s">
        <v>76</v>
      </c>
      <c r="C34" t="s">
        <v>77</v>
      </c>
      <c r="D34">
        <v>20.61</v>
      </c>
      <c r="E34">
        <v>0.54759999999999998</v>
      </c>
      <c r="F34">
        <v>-34.53</v>
      </c>
      <c r="G34">
        <v>55.88</v>
      </c>
      <c r="H34">
        <v>22.95</v>
      </c>
      <c r="I34">
        <v>37</v>
      </c>
      <c r="J34">
        <v>57.4</v>
      </c>
    </row>
    <row r="35" spans="1:10" x14ac:dyDescent="0.3">
      <c r="A35" t="s">
        <v>52</v>
      </c>
      <c r="B35" t="s">
        <v>84</v>
      </c>
      <c r="C35" t="s">
        <v>37</v>
      </c>
      <c r="D35">
        <v>78.5</v>
      </c>
      <c r="E35">
        <v>0.93869999999999998</v>
      </c>
      <c r="F35">
        <v>-25.06</v>
      </c>
      <c r="G35">
        <v>51.56</v>
      </c>
      <c r="H35">
        <v>41.88</v>
      </c>
      <c r="I35">
        <v>20</v>
      </c>
      <c r="J35">
        <v>-21.5</v>
      </c>
    </row>
    <row r="36" spans="1:10" x14ac:dyDescent="0.3">
      <c r="A36" t="s">
        <v>52</v>
      </c>
      <c r="B36" t="s">
        <v>87</v>
      </c>
      <c r="C36" t="s">
        <v>67</v>
      </c>
      <c r="D36">
        <v>-9.75</v>
      </c>
      <c r="E36">
        <v>-0.20930000000000001</v>
      </c>
      <c r="F36">
        <v>-21.49</v>
      </c>
      <c r="G36">
        <v>50</v>
      </c>
      <c r="H36">
        <v>18.21</v>
      </c>
      <c r="I36">
        <v>18</v>
      </c>
      <c r="J36">
        <v>-243.08</v>
      </c>
    </row>
    <row r="37" spans="1:10" x14ac:dyDescent="0.3">
      <c r="A37" t="s">
        <v>52</v>
      </c>
      <c r="B37" t="s">
        <v>95</v>
      </c>
      <c r="C37" t="s">
        <v>45</v>
      </c>
      <c r="D37">
        <v>188.49</v>
      </c>
      <c r="E37">
        <v>1.0972999999999999</v>
      </c>
      <c r="F37">
        <v>-36.93</v>
      </c>
      <c r="G37">
        <v>43.58</v>
      </c>
      <c r="H37">
        <v>74.900000000000006</v>
      </c>
      <c r="I37">
        <v>26</v>
      </c>
      <c r="J37">
        <v>205.34</v>
      </c>
    </row>
    <row r="38" spans="1:10" x14ac:dyDescent="0.3">
      <c r="A38" t="s">
        <v>52</v>
      </c>
      <c r="B38" t="s">
        <v>101</v>
      </c>
      <c r="C38" t="s">
        <v>92</v>
      </c>
      <c r="D38">
        <v>-18.3</v>
      </c>
      <c r="E38">
        <v>-0.30230000000000001</v>
      </c>
      <c r="F38">
        <v>-31.77</v>
      </c>
      <c r="G38">
        <v>46.41</v>
      </c>
      <c r="H38">
        <v>25.18</v>
      </c>
      <c r="I38">
        <v>21</v>
      </c>
      <c r="J38">
        <v>-6.13</v>
      </c>
    </row>
    <row r="39" spans="1:10" x14ac:dyDescent="0.3">
      <c r="A39" t="s">
        <v>52</v>
      </c>
      <c r="B39" t="s">
        <v>104</v>
      </c>
      <c r="C39" t="s">
        <v>105</v>
      </c>
      <c r="D39">
        <v>-8.4</v>
      </c>
      <c r="E39">
        <v>-4.7199999999999999E-2</v>
      </c>
      <c r="F39">
        <v>-32.54</v>
      </c>
      <c r="G39">
        <v>35.590000000000003</v>
      </c>
      <c r="H39">
        <v>26.79</v>
      </c>
      <c r="I39">
        <v>17</v>
      </c>
      <c r="J39">
        <v>-44.55</v>
      </c>
    </row>
    <row r="40" spans="1:10" x14ac:dyDescent="0.3">
      <c r="A40" t="s">
        <v>52</v>
      </c>
      <c r="B40" t="s">
        <v>108</v>
      </c>
      <c r="C40" t="s">
        <v>109</v>
      </c>
      <c r="D40">
        <v>52.82</v>
      </c>
      <c r="E40">
        <v>0.875</v>
      </c>
      <c r="F40">
        <v>-17.96</v>
      </c>
      <c r="G40">
        <v>51.72</v>
      </c>
      <c r="H40">
        <v>30.45</v>
      </c>
      <c r="I40">
        <v>16</v>
      </c>
      <c r="J40">
        <v>-21.97</v>
      </c>
    </row>
    <row r="41" spans="1:10" x14ac:dyDescent="0.3">
      <c r="A41" t="s">
        <v>52</v>
      </c>
      <c r="B41" t="s">
        <v>119</v>
      </c>
      <c r="C41" t="s">
        <v>57</v>
      </c>
      <c r="D41">
        <v>-4.0199999999999996</v>
      </c>
      <c r="E41">
        <v>6.7000000000000004E-2</v>
      </c>
      <c r="F41">
        <v>-38.22</v>
      </c>
      <c r="G41">
        <v>48.04</v>
      </c>
      <c r="H41">
        <v>30.55</v>
      </c>
      <c r="I41">
        <v>44</v>
      </c>
      <c r="J41">
        <v>-96.69</v>
      </c>
    </row>
    <row r="42" spans="1:10" x14ac:dyDescent="0.3">
      <c r="A42" t="s">
        <v>52</v>
      </c>
      <c r="B42" t="s">
        <v>125</v>
      </c>
      <c r="C42" t="s">
        <v>81</v>
      </c>
      <c r="D42">
        <v>2.7</v>
      </c>
      <c r="E42">
        <v>0.1976</v>
      </c>
      <c r="F42">
        <v>-45.02</v>
      </c>
      <c r="G42">
        <v>51.64</v>
      </c>
      <c r="H42">
        <v>30.45</v>
      </c>
      <c r="I42">
        <v>39</v>
      </c>
      <c r="J42">
        <v>-124.19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4.4" x14ac:dyDescent="0.3"/>
  <cols>
    <col min="1" max="1" width="30" customWidth="1"/>
    <col min="2" max="2" width="15" customWidth="1"/>
    <col min="3" max="3" width="22" customWidth="1"/>
    <col min="4" max="5" width="23" customWidth="1"/>
    <col min="6" max="6" width="21" customWidth="1"/>
    <col min="7" max="8" width="22" customWidth="1"/>
    <col min="9" max="9" width="18" customWidth="1"/>
  </cols>
  <sheetData>
    <row r="1" spans="1:9" ht="16.8" x14ac:dyDescent="0.3">
      <c r="A1" s="8" t="s">
        <v>141</v>
      </c>
      <c r="B1" s="9"/>
      <c r="C1" s="9"/>
      <c r="D1" s="9"/>
      <c r="E1" s="9"/>
      <c r="F1" s="9"/>
      <c r="G1" s="9"/>
      <c r="H1" s="9"/>
      <c r="I1" s="9"/>
    </row>
    <row r="3" spans="1:9" x14ac:dyDescent="0.3">
      <c r="A3" s="1" t="s">
        <v>3</v>
      </c>
      <c r="B3" s="1" t="s">
        <v>132</v>
      </c>
      <c r="C3" s="1" t="s">
        <v>133</v>
      </c>
      <c r="D3" s="1" t="s">
        <v>134</v>
      </c>
      <c r="E3" s="1" t="s">
        <v>135</v>
      </c>
      <c r="F3" s="1" t="s">
        <v>136</v>
      </c>
      <c r="G3" s="1" t="s">
        <v>137</v>
      </c>
      <c r="H3" s="1" t="s">
        <v>138</v>
      </c>
      <c r="I3" s="1" t="s">
        <v>139</v>
      </c>
    </row>
    <row r="4" spans="1:9" x14ac:dyDescent="0.3">
      <c r="A4" s="2" t="s">
        <v>113</v>
      </c>
      <c r="B4" s="2">
        <v>11</v>
      </c>
      <c r="C4" s="3">
        <v>42.830909090909088</v>
      </c>
      <c r="D4" s="2">
        <v>0.27139999999999997</v>
      </c>
      <c r="E4" s="2">
        <v>-16.40909090909091</v>
      </c>
      <c r="F4" s="2">
        <v>50.236363636363627</v>
      </c>
      <c r="G4" s="2">
        <v>20.125454545454549</v>
      </c>
      <c r="H4" s="2">
        <v>7.7272727272727284</v>
      </c>
      <c r="I4" s="2">
        <v>7</v>
      </c>
    </row>
    <row r="5" spans="1:9" x14ac:dyDescent="0.3">
      <c r="A5" s="2" t="s">
        <v>68</v>
      </c>
      <c r="B5" s="2">
        <v>11</v>
      </c>
      <c r="C5" s="3">
        <v>42.084545454545463</v>
      </c>
      <c r="D5" s="2">
        <v>0.20101818181818179</v>
      </c>
      <c r="E5" s="2">
        <v>-16.343636363636371</v>
      </c>
      <c r="F5" s="2">
        <v>48.838181818181823</v>
      </c>
      <c r="G5" s="2">
        <v>19.780909090909091</v>
      </c>
      <c r="H5" s="2">
        <v>7.3636363636363633</v>
      </c>
      <c r="I5" s="2">
        <v>7</v>
      </c>
    </row>
    <row r="6" spans="1:9" x14ac:dyDescent="0.3">
      <c r="A6" s="2" t="s">
        <v>52</v>
      </c>
      <c r="B6" s="2">
        <v>11</v>
      </c>
      <c r="C6" s="3">
        <v>7.0572727272727276</v>
      </c>
      <c r="D6" s="2">
        <v>5.1990909090909088E-2</v>
      </c>
      <c r="E6" s="2">
        <v>-25.54000000000001</v>
      </c>
      <c r="F6" s="2">
        <v>46.506363636363638</v>
      </c>
      <c r="G6" s="2">
        <v>22.276363636363641</v>
      </c>
      <c r="H6" s="2">
        <v>14.81818181818182</v>
      </c>
      <c r="I6" s="2">
        <v>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3"/>
  <sheetViews>
    <sheetView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30" customWidth="1"/>
    <col min="2" max="2" width="12" customWidth="1"/>
    <col min="3" max="3" width="15" customWidth="1"/>
    <col min="4" max="4" width="14" customWidth="1"/>
    <col min="5" max="5" width="16" customWidth="1"/>
    <col min="6" max="6" width="11" customWidth="1"/>
    <col min="7" max="7" width="16" customWidth="1"/>
    <col min="8" max="8" width="18" customWidth="1"/>
    <col min="9" max="9" width="14" customWidth="1"/>
    <col min="10" max="10" width="18" customWidth="1"/>
  </cols>
  <sheetData>
    <row r="1" spans="1:10" ht="16.8" x14ac:dyDescent="0.3">
      <c r="A1" s="8" t="s">
        <v>142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3">
      <c r="A3" s="1" t="s">
        <v>2</v>
      </c>
      <c r="B3" s="1" t="s">
        <v>143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</row>
    <row r="4" spans="1:10" x14ac:dyDescent="0.3">
      <c r="A4" s="2" t="s">
        <v>109</v>
      </c>
      <c r="B4" s="2" t="s">
        <v>144</v>
      </c>
      <c r="C4" s="2">
        <v>2</v>
      </c>
      <c r="D4" s="3">
        <v>64.680000000000007</v>
      </c>
      <c r="E4" s="2">
        <v>1.0771999999999999</v>
      </c>
      <c r="F4" s="2">
        <v>-13.14</v>
      </c>
      <c r="G4" s="2">
        <v>51.4</v>
      </c>
      <c r="H4" s="2">
        <v>28.28</v>
      </c>
      <c r="I4" s="2">
        <v>27.5</v>
      </c>
      <c r="J4" s="2">
        <v>2</v>
      </c>
    </row>
    <row r="5" spans="1:10" x14ac:dyDescent="0.3">
      <c r="A5" s="2" t="s">
        <v>109</v>
      </c>
      <c r="B5" s="2" t="s">
        <v>145</v>
      </c>
      <c r="C5" s="2">
        <v>2</v>
      </c>
      <c r="D5" s="3">
        <v>11.06</v>
      </c>
      <c r="E5" s="2">
        <v>0.39910000000000001</v>
      </c>
      <c r="F5" s="2">
        <v>-12.38</v>
      </c>
      <c r="G5" s="2">
        <v>47.78</v>
      </c>
      <c r="H5" s="2">
        <v>13.22</v>
      </c>
      <c r="I5" s="2">
        <v>16.5</v>
      </c>
      <c r="J5" s="2">
        <v>1</v>
      </c>
    </row>
    <row r="6" spans="1:10" x14ac:dyDescent="0.3">
      <c r="A6" s="2" t="s">
        <v>77</v>
      </c>
      <c r="B6" s="2" t="s">
        <v>144</v>
      </c>
      <c r="C6" s="2">
        <v>2</v>
      </c>
      <c r="D6" s="3">
        <v>15.8</v>
      </c>
      <c r="E6" s="2">
        <v>0.44729999999999998</v>
      </c>
      <c r="F6" s="2">
        <v>-26.65</v>
      </c>
      <c r="G6" s="2">
        <v>52.68</v>
      </c>
      <c r="H6" s="2">
        <v>23.92</v>
      </c>
      <c r="I6" s="2">
        <v>25.5</v>
      </c>
      <c r="J6" s="2">
        <v>2</v>
      </c>
    </row>
    <row r="7" spans="1:10" x14ac:dyDescent="0.3">
      <c r="A7" s="2" t="s">
        <v>77</v>
      </c>
      <c r="B7" s="2" t="s">
        <v>145</v>
      </c>
      <c r="C7" s="2">
        <v>2</v>
      </c>
      <c r="D7" s="5">
        <v>-3.6</v>
      </c>
      <c r="E7" s="2">
        <v>-4.8500000000000001E-2</v>
      </c>
      <c r="F7" s="2">
        <v>-28.52</v>
      </c>
      <c r="G7" s="2">
        <v>50.6</v>
      </c>
      <c r="H7" s="2">
        <v>20.62</v>
      </c>
      <c r="I7" s="2">
        <v>18</v>
      </c>
      <c r="J7" s="2">
        <v>1</v>
      </c>
    </row>
    <row r="8" spans="1:10" x14ac:dyDescent="0.3">
      <c r="A8" s="2" t="s">
        <v>57</v>
      </c>
      <c r="B8" s="2" t="s">
        <v>144</v>
      </c>
      <c r="C8" s="2">
        <v>2</v>
      </c>
      <c r="D8" s="3">
        <v>19.239999999999998</v>
      </c>
      <c r="E8" s="2">
        <v>0.54810000000000003</v>
      </c>
      <c r="F8" s="2">
        <v>-26.42</v>
      </c>
      <c r="G8" s="2">
        <v>48.24</v>
      </c>
      <c r="H8" s="2">
        <v>25.42</v>
      </c>
      <c r="I8" s="2">
        <v>28.5</v>
      </c>
      <c r="J8" s="2">
        <v>1</v>
      </c>
    </row>
    <row r="9" spans="1:10" x14ac:dyDescent="0.3">
      <c r="A9" s="2" t="s">
        <v>57</v>
      </c>
      <c r="B9" s="2" t="s">
        <v>145</v>
      </c>
      <c r="C9" s="2">
        <v>2</v>
      </c>
      <c r="D9" s="3">
        <v>6.9</v>
      </c>
      <c r="E9" s="2">
        <v>0.1172</v>
      </c>
      <c r="F9" s="2">
        <v>-22.84</v>
      </c>
      <c r="G9" s="2">
        <v>50.2</v>
      </c>
      <c r="H9" s="2">
        <v>22.54</v>
      </c>
      <c r="I9" s="2">
        <v>19.5</v>
      </c>
      <c r="J9" s="2">
        <v>1</v>
      </c>
    </row>
    <row r="10" spans="1:10" x14ac:dyDescent="0.3">
      <c r="A10" s="2" t="s">
        <v>45</v>
      </c>
      <c r="B10" s="2" t="s">
        <v>144</v>
      </c>
      <c r="C10" s="2">
        <v>2</v>
      </c>
      <c r="D10" s="3">
        <v>93.58</v>
      </c>
      <c r="E10" s="2">
        <v>0.61670000000000003</v>
      </c>
      <c r="F10" s="2">
        <v>-33.26</v>
      </c>
      <c r="G10" s="2">
        <v>46.71</v>
      </c>
      <c r="H10" s="2">
        <v>52.62</v>
      </c>
      <c r="I10" s="2">
        <v>19</v>
      </c>
      <c r="J10" s="2">
        <v>1</v>
      </c>
    </row>
    <row r="11" spans="1:10" x14ac:dyDescent="0.3">
      <c r="A11" s="2" t="s">
        <v>45</v>
      </c>
      <c r="B11" s="2" t="s">
        <v>145</v>
      </c>
      <c r="C11" s="2">
        <v>2</v>
      </c>
      <c r="D11" s="3">
        <v>26.04</v>
      </c>
      <c r="E11" s="2">
        <v>0.43359999999999999</v>
      </c>
      <c r="F11" s="2">
        <v>-33.42</v>
      </c>
      <c r="G11" s="2">
        <v>47.06</v>
      </c>
      <c r="H11" s="2">
        <v>35.01</v>
      </c>
      <c r="I11" s="2">
        <v>10</v>
      </c>
      <c r="J11" s="2">
        <v>2</v>
      </c>
    </row>
    <row r="12" spans="1:10" x14ac:dyDescent="0.3">
      <c r="A12" s="2" t="s">
        <v>81</v>
      </c>
      <c r="B12" s="2" t="s">
        <v>144</v>
      </c>
      <c r="C12" s="2">
        <v>2</v>
      </c>
      <c r="D12" s="3">
        <v>1.36</v>
      </c>
      <c r="E12" s="2">
        <v>0.1424</v>
      </c>
      <c r="F12" s="2">
        <v>-32.51</v>
      </c>
      <c r="G12" s="2">
        <v>52.51</v>
      </c>
      <c r="H12" s="2">
        <v>23.93</v>
      </c>
      <c r="I12" s="2">
        <v>24</v>
      </c>
      <c r="J12" s="2">
        <v>2</v>
      </c>
    </row>
    <row r="13" spans="1:10" x14ac:dyDescent="0.3">
      <c r="A13" s="2" t="s">
        <v>81</v>
      </c>
      <c r="B13" s="2" t="s">
        <v>145</v>
      </c>
      <c r="C13" s="2">
        <v>2</v>
      </c>
      <c r="D13" s="3">
        <v>4.03</v>
      </c>
      <c r="E13" s="2">
        <v>8.3400000000000002E-2</v>
      </c>
      <c r="F13" s="2">
        <v>-31.87</v>
      </c>
      <c r="G13" s="2">
        <v>58.77</v>
      </c>
      <c r="H13" s="2">
        <v>21.6</v>
      </c>
      <c r="I13" s="2">
        <v>13</v>
      </c>
      <c r="J13" s="2">
        <v>1</v>
      </c>
    </row>
    <row r="14" spans="1:10" x14ac:dyDescent="0.3">
      <c r="A14" s="2" t="s">
        <v>37</v>
      </c>
      <c r="B14" s="2" t="s">
        <v>144</v>
      </c>
      <c r="C14" s="2">
        <v>2</v>
      </c>
      <c r="D14" s="3">
        <v>38.81</v>
      </c>
      <c r="E14" s="2">
        <v>0.4698</v>
      </c>
      <c r="F14" s="2">
        <v>-19.98</v>
      </c>
      <c r="G14" s="2">
        <v>44.2</v>
      </c>
      <c r="H14" s="2">
        <v>25.92</v>
      </c>
      <c r="I14" s="2">
        <v>13.5</v>
      </c>
      <c r="J14" s="2">
        <v>1</v>
      </c>
    </row>
    <row r="15" spans="1:10" x14ac:dyDescent="0.3">
      <c r="A15" s="2" t="s">
        <v>37</v>
      </c>
      <c r="B15" s="2" t="s">
        <v>145</v>
      </c>
      <c r="C15" s="2">
        <v>2</v>
      </c>
      <c r="D15" s="3">
        <v>13.5</v>
      </c>
      <c r="E15" s="2">
        <v>-0.28720000000000001</v>
      </c>
      <c r="F15" s="2">
        <v>-18.66</v>
      </c>
      <c r="G15" s="2">
        <v>41.47</v>
      </c>
      <c r="H15" s="2">
        <v>19.850000000000001</v>
      </c>
      <c r="I15" s="2">
        <v>8.5</v>
      </c>
      <c r="J15" s="2">
        <v>1</v>
      </c>
    </row>
    <row r="16" spans="1:10" x14ac:dyDescent="0.3">
      <c r="A16" s="2" t="s">
        <v>92</v>
      </c>
      <c r="B16" s="2" t="s">
        <v>144</v>
      </c>
      <c r="C16" s="2">
        <v>2</v>
      </c>
      <c r="D16" s="3">
        <v>0.51</v>
      </c>
      <c r="E16" s="2">
        <v>6.2600000000000003E-2</v>
      </c>
      <c r="F16" s="2">
        <v>-30.24</v>
      </c>
      <c r="G16" s="2">
        <v>44.3</v>
      </c>
      <c r="H16" s="2">
        <v>32.1</v>
      </c>
      <c r="I16" s="2">
        <v>13</v>
      </c>
      <c r="J16" s="2">
        <v>1</v>
      </c>
    </row>
    <row r="17" spans="1:12" x14ac:dyDescent="0.3">
      <c r="A17" s="2" t="s">
        <v>92</v>
      </c>
      <c r="B17" s="2" t="s">
        <v>145</v>
      </c>
      <c r="C17" s="2">
        <v>2</v>
      </c>
      <c r="D17" s="3">
        <v>0.14000000000000001</v>
      </c>
      <c r="E17" s="2">
        <v>0.11459999999999999</v>
      </c>
      <c r="F17" s="2">
        <v>-25.44</v>
      </c>
      <c r="G17" s="2">
        <v>43.76</v>
      </c>
      <c r="H17" s="2">
        <v>31.39</v>
      </c>
      <c r="I17" s="2">
        <v>10.5</v>
      </c>
      <c r="J17" s="2">
        <v>1</v>
      </c>
    </row>
    <row r="18" spans="1:12" x14ac:dyDescent="0.3">
      <c r="A18" s="2" t="s">
        <v>67</v>
      </c>
      <c r="B18" s="2" t="s">
        <v>144</v>
      </c>
      <c r="C18" s="2">
        <v>3</v>
      </c>
      <c r="D18" s="5">
        <v>-18.09</v>
      </c>
      <c r="E18" s="2">
        <v>-0.36030000000000001</v>
      </c>
      <c r="F18" s="2">
        <v>-31.57</v>
      </c>
      <c r="G18" s="2">
        <v>46.44</v>
      </c>
      <c r="H18" s="2">
        <v>22.4</v>
      </c>
      <c r="I18" s="2">
        <v>19.7</v>
      </c>
      <c r="J18" s="2">
        <v>0</v>
      </c>
    </row>
    <row r="19" spans="1:12" x14ac:dyDescent="0.3">
      <c r="A19" s="2" t="s">
        <v>67</v>
      </c>
      <c r="B19" s="2" t="s">
        <v>145</v>
      </c>
      <c r="C19" s="2">
        <v>3</v>
      </c>
      <c r="D19" s="5">
        <v>-6.72</v>
      </c>
      <c r="E19" s="2">
        <v>-0.3911</v>
      </c>
      <c r="F19" s="2">
        <v>-16.98</v>
      </c>
      <c r="G19" s="2">
        <v>46.65</v>
      </c>
      <c r="H19" s="2">
        <v>12.4</v>
      </c>
      <c r="I19" s="2">
        <v>8</v>
      </c>
      <c r="J19" s="2">
        <v>1</v>
      </c>
    </row>
    <row r="20" spans="1:12" x14ac:dyDescent="0.3">
      <c r="A20" s="2" t="s">
        <v>105</v>
      </c>
      <c r="B20" s="2" t="s">
        <v>144</v>
      </c>
      <c r="C20" s="2">
        <v>2</v>
      </c>
      <c r="D20" s="3">
        <v>1.93</v>
      </c>
      <c r="E20" s="2">
        <v>0.27039999999999997</v>
      </c>
      <c r="F20" s="2">
        <v>-23.94</v>
      </c>
      <c r="G20" s="2">
        <v>49.28</v>
      </c>
      <c r="H20" s="2">
        <v>19.22</v>
      </c>
      <c r="I20" s="2">
        <v>11.5</v>
      </c>
      <c r="J20" s="2">
        <v>1</v>
      </c>
    </row>
    <row r="21" spans="1:12" x14ac:dyDescent="0.3">
      <c r="A21" s="2" t="s">
        <v>105</v>
      </c>
      <c r="B21" s="2" t="s">
        <v>145</v>
      </c>
      <c r="C21" s="2">
        <v>2</v>
      </c>
      <c r="D21" s="3">
        <v>28.62</v>
      </c>
      <c r="E21" s="2">
        <v>0.49480000000000002</v>
      </c>
      <c r="F21" s="2">
        <v>-6.35</v>
      </c>
      <c r="G21" s="2">
        <v>52.74</v>
      </c>
      <c r="H21" s="2">
        <v>17.52</v>
      </c>
      <c r="I21" s="2">
        <v>3</v>
      </c>
      <c r="J21" s="2">
        <v>1</v>
      </c>
    </row>
    <row r="22" spans="1:12" x14ac:dyDescent="0.3">
      <c r="A22" s="2" t="s">
        <v>62</v>
      </c>
      <c r="B22" s="2" t="s">
        <v>144</v>
      </c>
      <c r="C22" s="2">
        <v>2</v>
      </c>
      <c r="D22" s="3">
        <v>251.08</v>
      </c>
      <c r="E22" s="2">
        <v>1.385</v>
      </c>
      <c r="F22" s="2">
        <v>-21.61</v>
      </c>
      <c r="G22" s="2">
        <v>48.9</v>
      </c>
      <c r="H22" s="2">
        <v>33.28</v>
      </c>
      <c r="I22" s="2">
        <v>14</v>
      </c>
      <c r="J22" s="2">
        <v>2</v>
      </c>
    </row>
    <row r="23" spans="1:12" x14ac:dyDescent="0.3">
      <c r="A23" s="2" t="s">
        <v>62</v>
      </c>
      <c r="B23" s="2" t="s">
        <v>145</v>
      </c>
      <c r="C23" s="2">
        <v>2</v>
      </c>
      <c r="D23" s="3">
        <v>206.72</v>
      </c>
      <c r="E23" s="2">
        <v>1.3217000000000001</v>
      </c>
      <c r="F23" s="2">
        <v>-12.58</v>
      </c>
      <c r="G23" s="2">
        <v>44.12</v>
      </c>
      <c r="H23" s="2">
        <v>26.72</v>
      </c>
      <c r="I23" s="2">
        <v>6.5</v>
      </c>
      <c r="J23" s="2">
        <v>2</v>
      </c>
    </row>
    <row r="24" spans="1:12" x14ac:dyDescent="0.3">
      <c r="A24" s="2" t="s">
        <v>51</v>
      </c>
      <c r="B24" s="2" t="s">
        <v>144</v>
      </c>
      <c r="C24" s="2">
        <v>2</v>
      </c>
      <c r="D24" s="5">
        <v>-9.5</v>
      </c>
      <c r="E24" s="2">
        <v>-0.1072</v>
      </c>
      <c r="F24" s="2">
        <v>-39.08</v>
      </c>
      <c r="G24" s="2">
        <v>41.48</v>
      </c>
      <c r="H24" s="2">
        <v>25.08</v>
      </c>
      <c r="I24" s="2">
        <v>18.5</v>
      </c>
      <c r="J24" s="2">
        <v>0</v>
      </c>
    </row>
    <row r="25" spans="1:12" x14ac:dyDescent="0.3">
      <c r="A25" s="2" t="s">
        <v>51</v>
      </c>
      <c r="B25" s="2" t="s">
        <v>145</v>
      </c>
      <c r="C25" s="2">
        <v>2</v>
      </c>
      <c r="D25" s="5">
        <v>-17.14</v>
      </c>
      <c r="E25" s="2">
        <v>-0.8054</v>
      </c>
      <c r="F25" s="2">
        <v>-21.59</v>
      </c>
      <c r="G25" s="2">
        <v>42.92</v>
      </c>
      <c r="H25" s="2">
        <v>10.37</v>
      </c>
      <c r="I25" s="2">
        <v>8</v>
      </c>
      <c r="J25" s="2">
        <v>1</v>
      </c>
    </row>
    <row r="27" spans="1:12" x14ac:dyDescent="0.3">
      <c r="A27" s="4" t="s">
        <v>146</v>
      </c>
    </row>
    <row r="29" spans="1:12" ht="15.6" x14ac:dyDescent="0.3">
      <c r="A29" s="6" t="s">
        <v>109</v>
      </c>
    </row>
    <row r="30" spans="1:12" x14ac:dyDescent="0.3">
      <c r="A30" s="1" t="s">
        <v>1</v>
      </c>
      <c r="B30" s="1" t="s">
        <v>3</v>
      </c>
      <c r="C30" s="1" t="s">
        <v>147</v>
      </c>
      <c r="D30" s="1" t="s">
        <v>148</v>
      </c>
      <c r="E30" s="1" t="s">
        <v>149</v>
      </c>
      <c r="F30" s="1" t="s">
        <v>150</v>
      </c>
      <c r="G30" s="1" t="s">
        <v>151</v>
      </c>
      <c r="H30" s="1" t="s">
        <v>152</v>
      </c>
      <c r="I30" s="1" t="s">
        <v>153</v>
      </c>
      <c r="J30" s="1" t="s">
        <v>154</v>
      </c>
      <c r="K30" s="1" t="s">
        <v>155</v>
      </c>
      <c r="L30" s="1" t="s">
        <v>156</v>
      </c>
    </row>
    <row r="31" spans="1:12" x14ac:dyDescent="0.3">
      <c r="A31" t="s">
        <v>108</v>
      </c>
      <c r="B31" t="s">
        <v>52</v>
      </c>
      <c r="C31">
        <v>52.82</v>
      </c>
      <c r="D31">
        <v>0.875</v>
      </c>
      <c r="E31">
        <v>-17.96</v>
      </c>
      <c r="F31">
        <v>51.72</v>
      </c>
      <c r="G31">
        <v>16</v>
      </c>
      <c r="H31">
        <v>-8.59</v>
      </c>
      <c r="I31">
        <v>-0.31140000000000001</v>
      </c>
      <c r="J31">
        <v>-17.96</v>
      </c>
      <c r="K31">
        <v>42.86</v>
      </c>
      <c r="L31">
        <v>10</v>
      </c>
    </row>
    <row r="32" spans="1:12" x14ac:dyDescent="0.3">
      <c r="A32" t="s">
        <v>128</v>
      </c>
      <c r="B32" t="s">
        <v>38</v>
      </c>
      <c r="C32">
        <v>76.53</v>
      </c>
      <c r="D32">
        <v>1.2794000000000001</v>
      </c>
      <c r="E32">
        <v>-8.32</v>
      </c>
      <c r="F32">
        <v>51.08</v>
      </c>
      <c r="G32">
        <v>39</v>
      </c>
      <c r="H32">
        <v>30.72</v>
      </c>
      <c r="I32">
        <v>1.1095999999999999</v>
      </c>
      <c r="J32">
        <v>-6.81</v>
      </c>
      <c r="K32">
        <v>52.69</v>
      </c>
      <c r="L32">
        <v>23</v>
      </c>
    </row>
    <row r="34" spans="1:12" ht="15.6" x14ac:dyDescent="0.3">
      <c r="A34" s="6" t="s">
        <v>77</v>
      </c>
    </row>
    <row r="35" spans="1:12" x14ac:dyDescent="0.3">
      <c r="A35" s="1" t="s">
        <v>1</v>
      </c>
      <c r="B35" s="1" t="s">
        <v>3</v>
      </c>
      <c r="C35" s="1" t="s">
        <v>147</v>
      </c>
      <c r="D35" s="1" t="s">
        <v>148</v>
      </c>
      <c r="E35" s="1" t="s">
        <v>149</v>
      </c>
      <c r="F35" s="1" t="s">
        <v>150</v>
      </c>
      <c r="G35" s="1" t="s">
        <v>151</v>
      </c>
      <c r="H35" s="1" t="s">
        <v>152</v>
      </c>
      <c r="I35" s="1" t="s">
        <v>153</v>
      </c>
      <c r="J35" s="1" t="s">
        <v>154</v>
      </c>
      <c r="K35" s="1" t="s">
        <v>155</v>
      </c>
      <c r="L35" s="1" t="s">
        <v>156</v>
      </c>
    </row>
    <row r="36" spans="1:12" x14ac:dyDescent="0.3">
      <c r="A36" t="s">
        <v>76</v>
      </c>
      <c r="B36" t="s">
        <v>52</v>
      </c>
      <c r="C36">
        <v>20.61</v>
      </c>
      <c r="D36">
        <v>0.54759999999999998</v>
      </c>
      <c r="E36">
        <v>-34.53</v>
      </c>
      <c r="F36">
        <v>55.88</v>
      </c>
      <c r="G36">
        <v>37</v>
      </c>
      <c r="H36">
        <v>-14.12</v>
      </c>
      <c r="I36">
        <v>-0.3659</v>
      </c>
      <c r="J36">
        <v>-30.89</v>
      </c>
      <c r="K36">
        <v>53.57</v>
      </c>
      <c r="L36">
        <v>25</v>
      </c>
    </row>
    <row r="37" spans="1:12" x14ac:dyDescent="0.3">
      <c r="A37" t="s">
        <v>98</v>
      </c>
      <c r="B37" t="s">
        <v>38</v>
      </c>
      <c r="C37">
        <v>10.98</v>
      </c>
      <c r="D37">
        <v>0.34699999999999998</v>
      </c>
      <c r="E37">
        <v>-18.77</v>
      </c>
      <c r="F37">
        <v>49.47</v>
      </c>
      <c r="G37">
        <v>14</v>
      </c>
      <c r="H37">
        <v>6.93</v>
      </c>
      <c r="I37">
        <v>0.26889999999999997</v>
      </c>
      <c r="J37">
        <v>-26.14</v>
      </c>
      <c r="K37">
        <v>47.62</v>
      </c>
      <c r="L37">
        <v>11</v>
      </c>
    </row>
    <row r="39" spans="1:12" ht="15.6" x14ac:dyDescent="0.3">
      <c r="A39" s="6" t="s">
        <v>57</v>
      </c>
    </row>
    <row r="40" spans="1:12" x14ac:dyDescent="0.3">
      <c r="A40" s="1" t="s">
        <v>1</v>
      </c>
      <c r="B40" s="1" t="s">
        <v>3</v>
      </c>
      <c r="C40" s="1" t="s">
        <v>147</v>
      </c>
      <c r="D40" s="1" t="s">
        <v>148</v>
      </c>
      <c r="E40" s="1" t="s">
        <v>149</v>
      </c>
      <c r="F40" s="1" t="s">
        <v>150</v>
      </c>
      <c r="G40" s="1" t="s">
        <v>151</v>
      </c>
      <c r="H40" s="1" t="s">
        <v>152</v>
      </c>
      <c r="I40" s="1" t="s">
        <v>153</v>
      </c>
      <c r="J40" s="1" t="s">
        <v>154</v>
      </c>
      <c r="K40" s="1" t="s">
        <v>155</v>
      </c>
      <c r="L40" s="1" t="s">
        <v>156</v>
      </c>
    </row>
    <row r="41" spans="1:12" x14ac:dyDescent="0.3">
      <c r="A41" t="s">
        <v>56</v>
      </c>
      <c r="B41" t="s">
        <v>38</v>
      </c>
      <c r="C41">
        <v>42.49</v>
      </c>
      <c r="D41">
        <v>1.0291999999999999</v>
      </c>
      <c r="E41">
        <v>-14.61</v>
      </c>
      <c r="F41">
        <v>48.44</v>
      </c>
      <c r="G41">
        <v>13</v>
      </c>
      <c r="H41">
        <v>-10.53</v>
      </c>
      <c r="I41">
        <v>-0.29370000000000002</v>
      </c>
      <c r="J41">
        <v>-22.65</v>
      </c>
      <c r="K41">
        <v>48.28</v>
      </c>
      <c r="L41">
        <v>8</v>
      </c>
    </row>
    <row r="42" spans="1:12" x14ac:dyDescent="0.3">
      <c r="A42" t="s">
        <v>119</v>
      </c>
      <c r="B42" t="s">
        <v>52</v>
      </c>
      <c r="C42">
        <v>-4.0199999999999996</v>
      </c>
      <c r="D42">
        <v>6.7000000000000004E-2</v>
      </c>
      <c r="E42">
        <v>-38.22</v>
      </c>
      <c r="F42">
        <v>48.04</v>
      </c>
      <c r="G42">
        <v>44</v>
      </c>
      <c r="H42">
        <v>24.32</v>
      </c>
      <c r="I42">
        <v>0.5282</v>
      </c>
      <c r="J42">
        <v>-23.02</v>
      </c>
      <c r="K42">
        <v>52.11</v>
      </c>
      <c r="L42">
        <v>31</v>
      </c>
    </row>
    <row r="44" spans="1:12" ht="15.6" x14ac:dyDescent="0.3">
      <c r="A44" s="6" t="s">
        <v>45</v>
      </c>
    </row>
    <row r="45" spans="1:12" x14ac:dyDescent="0.3">
      <c r="A45" s="1" t="s">
        <v>1</v>
      </c>
      <c r="B45" s="1" t="s">
        <v>3</v>
      </c>
      <c r="C45" s="1" t="s">
        <v>147</v>
      </c>
      <c r="D45" s="1" t="s">
        <v>148</v>
      </c>
      <c r="E45" s="1" t="s">
        <v>149</v>
      </c>
      <c r="F45" s="1" t="s">
        <v>150</v>
      </c>
      <c r="G45" s="1" t="s">
        <v>151</v>
      </c>
      <c r="H45" s="1" t="s">
        <v>152</v>
      </c>
      <c r="I45" s="1" t="s">
        <v>153</v>
      </c>
      <c r="J45" s="1" t="s">
        <v>154</v>
      </c>
      <c r="K45" s="1" t="s">
        <v>155</v>
      </c>
      <c r="L45" s="1" t="s">
        <v>156</v>
      </c>
    </row>
    <row r="46" spans="1:12" x14ac:dyDescent="0.3">
      <c r="A46" t="s">
        <v>44</v>
      </c>
      <c r="B46" t="s">
        <v>38</v>
      </c>
      <c r="C46">
        <v>-1.33</v>
      </c>
      <c r="D46">
        <v>0.1361</v>
      </c>
      <c r="E46">
        <v>-29.59</v>
      </c>
      <c r="F46">
        <v>49.84</v>
      </c>
      <c r="G46">
        <v>12</v>
      </c>
      <c r="H46">
        <v>4.9800000000000004</v>
      </c>
      <c r="I46">
        <v>0.24279999999999999</v>
      </c>
      <c r="J46">
        <v>-16.16</v>
      </c>
      <c r="K46">
        <v>48.91</v>
      </c>
      <c r="L46">
        <v>7</v>
      </c>
    </row>
    <row r="47" spans="1:12" x14ac:dyDescent="0.3">
      <c r="A47" t="s">
        <v>95</v>
      </c>
      <c r="B47" t="s">
        <v>52</v>
      </c>
      <c r="C47">
        <v>188.49</v>
      </c>
      <c r="D47">
        <v>1.0972999999999999</v>
      </c>
      <c r="E47">
        <v>-36.93</v>
      </c>
      <c r="F47">
        <v>43.58</v>
      </c>
      <c r="G47">
        <v>26</v>
      </c>
      <c r="H47">
        <v>47.1</v>
      </c>
      <c r="I47">
        <v>0.62439999999999996</v>
      </c>
      <c r="J47">
        <v>-50.67</v>
      </c>
      <c r="K47">
        <v>45.22</v>
      </c>
      <c r="L47">
        <v>13</v>
      </c>
    </row>
    <row r="49" spans="1:12" ht="15.6" x14ac:dyDescent="0.3">
      <c r="A49" s="6" t="s">
        <v>81</v>
      </c>
    </row>
    <row r="50" spans="1:12" x14ac:dyDescent="0.3">
      <c r="A50" s="1" t="s">
        <v>1</v>
      </c>
      <c r="B50" s="1" t="s">
        <v>3</v>
      </c>
      <c r="C50" s="1" t="s">
        <v>147</v>
      </c>
      <c r="D50" s="1" t="s">
        <v>148</v>
      </c>
      <c r="E50" s="1" t="s">
        <v>149</v>
      </c>
      <c r="F50" s="1" t="s">
        <v>150</v>
      </c>
      <c r="G50" s="1" t="s">
        <v>151</v>
      </c>
      <c r="H50" s="1" t="s">
        <v>152</v>
      </c>
      <c r="I50" s="1" t="s">
        <v>153</v>
      </c>
      <c r="J50" s="1" t="s">
        <v>154</v>
      </c>
      <c r="K50" s="1" t="s">
        <v>155</v>
      </c>
      <c r="L50" s="1" t="s">
        <v>156</v>
      </c>
    </row>
    <row r="51" spans="1:12" x14ac:dyDescent="0.3">
      <c r="A51" t="s">
        <v>80</v>
      </c>
      <c r="B51" t="s">
        <v>38</v>
      </c>
      <c r="C51">
        <v>0.03</v>
      </c>
      <c r="D51">
        <v>8.72E-2</v>
      </c>
      <c r="E51">
        <v>-19.989999999999998</v>
      </c>
      <c r="F51">
        <v>53.38</v>
      </c>
      <c r="G51">
        <v>9</v>
      </c>
      <c r="H51">
        <v>-16.329999999999998</v>
      </c>
      <c r="I51">
        <v>-0.42509999999999998</v>
      </c>
      <c r="J51">
        <v>-22.08</v>
      </c>
      <c r="K51">
        <v>56.67</v>
      </c>
      <c r="L51">
        <v>5</v>
      </c>
    </row>
    <row r="52" spans="1:12" x14ac:dyDescent="0.3">
      <c r="A52" t="s">
        <v>125</v>
      </c>
      <c r="B52" t="s">
        <v>52</v>
      </c>
      <c r="C52">
        <v>2.7</v>
      </c>
      <c r="D52">
        <v>0.1976</v>
      </c>
      <c r="E52">
        <v>-45.02</v>
      </c>
      <c r="F52">
        <v>51.64</v>
      </c>
      <c r="G52">
        <v>39</v>
      </c>
      <c r="H52">
        <v>24.39</v>
      </c>
      <c r="I52">
        <v>0.59179999999999999</v>
      </c>
      <c r="J52">
        <v>-41.66</v>
      </c>
      <c r="K52">
        <v>60.87</v>
      </c>
      <c r="L52">
        <v>21</v>
      </c>
    </row>
    <row r="54" spans="1:12" ht="15.6" x14ac:dyDescent="0.3">
      <c r="A54" s="6" t="s">
        <v>37</v>
      </c>
    </row>
    <row r="55" spans="1:12" x14ac:dyDescent="0.3">
      <c r="A55" s="1" t="s">
        <v>1</v>
      </c>
      <c r="B55" s="1" t="s">
        <v>3</v>
      </c>
      <c r="C55" s="1" t="s">
        <v>147</v>
      </c>
      <c r="D55" s="1" t="s">
        <v>148</v>
      </c>
      <c r="E55" s="1" t="s">
        <v>149</v>
      </c>
      <c r="F55" s="1" t="s">
        <v>150</v>
      </c>
      <c r="G55" s="1" t="s">
        <v>151</v>
      </c>
      <c r="H55" s="1" t="s">
        <v>152</v>
      </c>
      <c r="I55" s="1" t="s">
        <v>153</v>
      </c>
      <c r="J55" s="1" t="s">
        <v>154</v>
      </c>
      <c r="K55" s="1" t="s">
        <v>155</v>
      </c>
      <c r="L55" s="1" t="s">
        <v>156</v>
      </c>
    </row>
    <row r="56" spans="1:12" x14ac:dyDescent="0.3">
      <c r="A56" t="s">
        <v>36</v>
      </c>
      <c r="B56" t="s">
        <v>38</v>
      </c>
      <c r="C56">
        <v>-0.88</v>
      </c>
      <c r="D56">
        <v>8.0000000000000004E-4</v>
      </c>
      <c r="E56">
        <v>-14.89</v>
      </c>
      <c r="F56">
        <v>36.840000000000003</v>
      </c>
      <c r="G56">
        <v>7</v>
      </c>
      <c r="H56">
        <v>-9.7799999999999994</v>
      </c>
      <c r="I56">
        <v>-1.2137</v>
      </c>
      <c r="J56">
        <v>-12.27</v>
      </c>
      <c r="K56">
        <v>33.33</v>
      </c>
      <c r="L56">
        <v>3</v>
      </c>
    </row>
    <row r="57" spans="1:12" x14ac:dyDescent="0.3">
      <c r="A57" t="s">
        <v>84</v>
      </c>
      <c r="B57" t="s">
        <v>52</v>
      </c>
      <c r="C57">
        <v>78.5</v>
      </c>
      <c r="D57">
        <v>0.93869999999999998</v>
      </c>
      <c r="E57">
        <v>-25.06</v>
      </c>
      <c r="F57">
        <v>51.56</v>
      </c>
      <c r="G57">
        <v>20</v>
      </c>
      <c r="H57">
        <v>36.79</v>
      </c>
      <c r="I57">
        <v>0.63919999999999999</v>
      </c>
      <c r="J57">
        <v>-25.06</v>
      </c>
      <c r="K57">
        <v>49.62</v>
      </c>
      <c r="L57">
        <v>14</v>
      </c>
    </row>
    <row r="59" spans="1:12" ht="15.6" x14ac:dyDescent="0.3">
      <c r="A59" s="6" t="s">
        <v>92</v>
      </c>
    </row>
    <row r="60" spans="1:12" x14ac:dyDescent="0.3">
      <c r="A60" s="1" t="s">
        <v>1</v>
      </c>
      <c r="B60" s="1" t="s">
        <v>3</v>
      </c>
      <c r="C60" s="1" t="s">
        <v>147</v>
      </c>
      <c r="D60" s="1" t="s">
        <v>148</v>
      </c>
      <c r="E60" s="1" t="s">
        <v>149</v>
      </c>
      <c r="F60" s="1" t="s">
        <v>150</v>
      </c>
      <c r="G60" s="1" t="s">
        <v>151</v>
      </c>
      <c r="H60" s="1" t="s">
        <v>152</v>
      </c>
      <c r="I60" s="1" t="s">
        <v>153</v>
      </c>
      <c r="J60" s="1" t="s">
        <v>154</v>
      </c>
      <c r="K60" s="1" t="s">
        <v>155</v>
      </c>
      <c r="L60" s="1" t="s">
        <v>156</v>
      </c>
    </row>
    <row r="61" spans="1:12" x14ac:dyDescent="0.3">
      <c r="A61" t="s">
        <v>91</v>
      </c>
      <c r="B61" t="s">
        <v>38</v>
      </c>
      <c r="C61">
        <v>19.329999999999998</v>
      </c>
      <c r="D61">
        <v>0.4274</v>
      </c>
      <c r="E61">
        <v>-28.7</v>
      </c>
      <c r="F61">
        <v>42.18</v>
      </c>
      <c r="G61">
        <v>5</v>
      </c>
      <c r="H61">
        <v>7.73</v>
      </c>
      <c r="I61">
        <v>0.28839999999999999</v>
      </c>
      <c r="J61">
        <v>-28.7</v>
      </c>
      <c r="K61">
        <v>40.369999999999997</v>
      </c>
      <c r="L61">
        <v>4</v>
      </c>
    </row>
    <row r="62" spans="1:12" x14ac:dyDescent="0.3">
      <c r="A62" t="s">
        <v>101</v>
      </c>
      <c r="B62" t="s">
        <v>52</v>
      </c>
      <c r="C62">
        <v>-18.3</v>
      </c>
      <c r="D62">
        <v>-0.30230000000000001</v>
      </c>
      <c r="E62">
        <v>-31.77</v>
      </c>
      <c r="F62">
        <v>46.41</v>
      </c>
      <c r="G62">
        <v>21</v>
      </c>
      <c r="H62">
        <v>-7.45</v>
      </c>
      <c r="I62">
        <v>-5.91E-2</v>
      </c>
      <c r="J62">
        <v>-22.17</v>
      </c>
      <c r="K62">
        <v>47.15</v>
      </c>
      <c r="L62">
        <v>17</v>
      </c>
    </row>
    <row r="64" spans="1:12" ht="15.6" x14ac:dyDescent="0.3">
      <c r="A64" s="6" t="s">
        <v>67</v>
      </c>
    </row>
    <row r="65" spans="1:12" x14ac:dyDescent="0.3">
      <c r="A65" s="1" t="s">
        <v>1</v>
      </c>
      <c r="B65" s="1" t="s">
        <v>3</v>
      </c>
      <c r="C65" s="1" t="s">
        <v>147</v>
      </c>
      <c r="D65" s="1" t="s">
        <v>148</v>
      </c>
      <c r="E65" s="1" t="s">
        <v>149</v>
      </c>
      <c r="F65" s="1" t="s">
        <v>150</v>
      </c>
      <c r="G65" s="1" t="s">
        <v>151</v>
      </c>
      <c r="H65" s="1" t="s">
        <v>152</v>
      </c>
      <c r="I65" s="1" t="s">
        <v>153</v>
      </c>
      <c r="J65" s="1" t="s">
        <v>154</v>
      </c>
      <c r="K65" s="1" t="s">
        <v>155</v>
      </c>
      <c r="L65" s="1" t="s">
        <v>156</v>
      </c>
    </row>
    <row r="66" spans="1:12" x14ac:dyDescent="0.3">
      <c r="A66" t="s">
        <v>66</v>
      </c>
      <c r="B66" t="s">
        <v>68</v>
      </c>
      <c r="C66">
        <v>-27.58</v>
      </c>
      <c r="D66">
        <v>-0.6028</v>
      </c>
      <c r="E66">
        <v>-40.35</v>
      </c>
      <c r="F66">
        <v>43.24</v>
      </c>
      <c r="G66">
        <v>28</v>
      </c>
      <c r="H66">
        <v>-16.38</v>
      </c>
      <c r="I66">
        <v>-1.0839000000000001</v>
      </c>
      <c r="J66">
        <v>-16.77</v>
      </c>
      <c r="K66">
        <v>34.619999999999997</v>
      </c>
      <c r="L66">
        <v>3</v>
      </c>
    </row>
    <row r="67" spans="1:12" x14ac:dyDescent="0.3">
      <c r="A67" t="s">
        <v>87</v>
      </c>
      <c r="B67" t="s">
        <v>52</v>
      </c>
      <c r="C67">
        <v>-9.75</v>
      </c>
      <c r="D67">
        <v>-0.20930000000000001</v>
      </c>
      <c r="E67">
        <v>-21.49</v>
      </c>
      <c r="F67">
        <v>50</v>
      </c>
      <c r="G67">
        <v>18</v>
      </c>
      <c r="H67">
        <v>4.38</v>
      </c>
      <c r="I67">
        <v>0.22040000000000001</v>
      </c>
      <c r="J67">
        <v>-16.670000000000002</v>
      </c>
      <c r="K67">
        <v>55.32</v>
      </c>
      <c r="L67">
        <v>14</v>
      </c>
    </row>
    <row r="68" spans="1:12" x14ac:dyDescent="0.3">
      <c r="A68" t="s">
        <v>112</v>
      </c>
      <c r="B68" t="s">
        <v>113</v>
      </c>
      <c r="C68">
        <v>-16.95</v>
      </c>
      <c r="D68">
        <v>-0.26889999999999997</v>
      </c>
      <c r="E68">
        <v>-32.869999999999997</v>
      </c>
      <c r="F68">
        <v>46.09</v>
      </c>
      <c r="G68">
        <v>13</v>
      </c>
      <c r="H68">
        <v>-8.17</v>
      </c>
      <c r="I68">
        <v>-0.30969999999999998</v>
      </c>
      <c r="J68">
        <v>-17.489999999999998</v>
      </c>
      <c r="K68">
        <v>50</v>
      </c>
      <c r="L68">
        <v>7</v>
      </c>
    </row>
    <row r="70" spans="1:12" ht="15.6" x14ac:dyDescent="0.3">
      <c r="A70" s="6" t="s">
        <v>105</v>
      </c>
    </row>
    <row r="71" spans="1:12" x14ac:dyDescent="0.3">
      <c r="A71" s="1" t="s">
        <v>1</v>
      </c>
      <c r="B71" s="1" t="s">
        <v>3</v>
      </c>
      <c r="C71" s="1" t="s">
        <v>147</v>
      </c>
      <c r="D71" s="1" t="s">
        <v>148</v>
      </c>
      <c r="E71" s="1" t="s">
        <v>149</v>
      </c>
      <c r="F71" s="1" t="s">
        <v>150</v>
      </c>
      <c r="G71" s="1" t="s">
        <v>151</v>
      </c>
      <c r="H71" s="1" t="s">
        <v>152</v>
      </c>
      <c r="I71" s="1" t="s">
        <v>153</v>
      </c>
      <c r="J71" s="1" t="s">
        <v>154</v>
      </c>
      <c r="K71" s="1" t="s">
        <v>155</v>
      </c>
      <c r="L71" s="1" t="s">
        <v>156</v>
      </c>
    </row>
    <row r="72" spans="1:12" x14ac:dyDescent="0.3">
      <c r="A72" t="s">
        <v>104</v>
      </c>
      <c r="B72" t="s">
        <v>52</v>
      </c>
      <c r="C72">
        <v>-8.4</v>
      </c>
      <c r="D72">
        <v>-4.7199999999999999E-2</v>
      </c>
      <c r="E72">
        <v>-32.54</v>
      </c>
      <c r="F72">
        <v>35.590000000000003</v>
      </c>
      <c r="G72">
        <v>17</v>
      </c>
      <c r="H72">
        <v>-1.83</v>
      </c>
      <c r="I72">
        <v>-6.6100000000000006E-2</v>
      </c>
      <c r="J72">
        <v>-10.43</v>
      </c>
      <c r="K72">
        <v>28.57</v>
      </c>
      <c r="L72">
        <v>3</v>
      </c>
    </row>
    <row r="73" spans="1:12" x14ac:dyDescent="0.3">
      <c r="A73" t="s">
        <v>116</v>
      </c>
      <c r="B73" t="s">
        <v>38</v>
      </c>
      <c r="C73">
        <v>12.27</v>
      </c>
      <c r="D73">
        <v>0.58789999999999998</v>
      </c>
      <c r="E73">
        <v>-15.34</v>
      </c>
      <c r="F73">
        <v>62.96</v>
      </c>
      <c r="G73">
        <v>6</v>
      </c>
      <c r="H73">
        <v>59.08</v>
      </c>
      <c r="I73">
        <v>1.0558000000000001</v>
      </c>
      <c r="J73">
        <v>-2.27</v>
      </c>
      <c r="K73">
        <v>76.92</v>
      </c>
      <c r="L73">
        <v>3</v>
      </c>
    </row>
    <row r="75" spans="1:12" ht="15.6" x14ac:dyDescent="0.3">
      <c r="A75" s="6" t="s">
        <v>62</v>
      </c>
    </row>
    <row r="76" spans="1:12" x14ac:dyDescent="0.3">
      <c r="A76" s="1" t="s">
        <v>1</v>
      </c>
      <c r="B76" s="1" t="s">
        <v>3</v>
      </c>
      <c r="C76" s="1" t="s">
        <v>147</v>
      </c>
      <c r="D76" s="1" t="s">
        <v>148</v>
      </c>
      <c r="E76" s="1" t="s">
        <v>149</v>
      </c>
      <c r="F76" s="1" t="s">
        <v>150</v>
      </c>
      <c r="G76" s="1" t="s">
        <v>151</v>
      </c>
      <c r="H76" s="1" t="s">
        <v>152</v>
      </c>
      <c r="I76" s="1" t="s">
        <v>153</v>
      </c>
      <c r="J76" s="1" t="s">
        <v>154</v>
      </c>
      <c r="K76" s="1" t="s">
        <v>155</v>
      </c>
      <c r="L76" s="1" t="s">
        <v>156</v>
      </c>
    </row>
    <row r="77" spans="1:12" x14ac:dyDescent="0.3">
      <c r="A77" t="s">
        <v>61</v>
      </c>
      <c r="B77" t="s">
        <v>52</v>
      </c>
      <c r="C77">
        <v>18.43</v>
      </c>
      <c r="D77">
        <v>0.76680000000000004</v>
      </c>
      <c r="E77">
        <v>-8.35</v>
      </c>
      <c r="F77">
        <v>48.65</v>
      </c>
      <c r="G77">
        <v>10</v>
      </c>
      <c r="H77">
        <v>7.96</v>
      </c>
      <c r="I77">
        <v>0.48980000000000001</v>
      </c>
      <c r="J77">
        <v>-7.09</v>
      </c>
      <c r="K77">
        <v>37.5</v>
      </c>
      <c r="L77">
        <v>4</v>
      </c>
    </row>
    <row r="78" spans="1:12" x14ac:dyDescent="0.3">
      <c r="A78" t="s">
        <v>71</v>
      </c>
      <c r="B78" t="s">
        <v>38</v>
      </c>
      <c r="C78">
        <v>483.72</v>
      </c>
      <c r="D78">
        <v>2.0032999999999999</v>
      </c>
      <c r="E78">
        <v>-34.869999999999997</v>
      </c>
      <c r="F78">
        <v>49.15</v>
      </c>
      <c r="G78">
        <v>18</v>
      </c>
      <c r="H78">
        <v>405.48</v>
      </c>
      <c r="I78">
        <v>2.1536</v>
      </c>
      <c r="J78">
        <v>-18.07</v>
      </c>
      <c r="K78">
        <v>50.75</v>
      </c>
      <c r="L78">
        <v>9</v>
      </c>
    </row>
    <row r="80" spans="1:12" ht="15.6" x14ac:dyDescent="0.3">
      <c r="A80" s="6" t="s">
        <v>51</v>
      </c>
    </row>
    <row r="81" spans="1:12" x14ac:dyDescent="0.3">
      <c r="A81" s="1" t="s">
        <v>1</v>
      </c>
      <c r="B81" s="1" t="s">
        <v>3</v>
      </c>
      <c r="C81" s="1" t="s">
        <v>147</v>
      </c>
      <c r="D81" s="1" t="s">
        <v>148</v>
      </c>
      <c r="E81" s="1" t="s">
        <v>149</v>
      </c>
      <c r="F81" s="1" t="s">
        <v>150</v>
      </c>
      <c r="G81" s="1" t="s">
        <v>151</v>
      </c>
      <c r="H81" s="1" t="s">
        <v>152</v>
      </c>
      <c r="I81" s="1" t="s">
        <v>153</v>
      </c>
      <c r="J81" s="1" t="s">
        <v>154</v>
      </c>
      <c r="K81" s="1" t="s">
        <v>155</v>
      </c>
      <c r="L81" s="1" t="s">
        <v>156</v>
      </c>
    </row>
    <row r="82" spans="1:12" x14ac:dyDescent="0.3">
      <c r="A82" t="s">
        <v>50</v>
      </c>
      <c r="B82" t="s">
        <v>52</v>
      </c>
      <c r="C82">
        <v>-9.17</v>
      </c>
      <c r="D82">
        <v>-1.4999999999999999E-2</v>
      </c>
      <c r="E82">
        <v>-50.49</v>
      </c>
      <c r="F82">
        <v>42.68</v>
      </c>
      <c r="G82">
        <v>24</v>
      </c>
      <c r="H82">
        <v>-35.32</v>
      </c>
      <c r="I82">
        <v>-1.7194</v>
      </c>
      <c r="J82">
        <v>-35.32</v>
      </c>
      <c r="K82">
        <v>38.78</v>
      </c>
      <c r="L82">
        <v>11</v>
      </c>
    </row>
    <row r="83" spans="1:12" x14ac:dyDescent="0.3">
      <c r="A83" t="s">
        <v>122</v>
      </c>
      <c r="B83" t="s">
        <v>38</v>
      </c>
      <c r="C83">
        <v>-9.82</v>
      </c>
      <c r="D83">
        <v>-0.1993</v>
      </c>
      <c r="E83">
        <v>-27.68</v>
      </c>
      <c r="F83">
        <v>40.29</v>
      </c>
      <c r="G83">
        <v>13</v>
      </c>
      <c r="H83">
        <v>1.03</v>
      </c>
      <c r="I83">
        <v>0.1085</v>
      </c>
      <c r="J83">
        <v>-7.86</v>
      </c>
      <c r="K83">
        <v>47.06</v>
      </c>
      <c r="L83">
        <v>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9"/>
  <sheetViews>
    <sheetView workbookViewId="0">
      <pane ySplit="3" topLeftCell="A4" activePane="bottomLeft" state="frozen"/>
      <selection pane="bottomLeft" sqref="A1:R1"/>
    </sheetView>
  </sheetViews>
  <sheetFormatPr defaultRowHeight="14.4" x14ac:dyDescent="0.3"/>
  <cols>
    <col min="1" max="2" width="30" customWidth="1"/>
    <col min="3" max="3" width="21" customWidth="1"/>
    <col min="4" max="4" width="15" customWidth="1"/>
    <col min="5" max="5" width="14" customWidth="1"/>
    <col min="6" max="6" width="23" customWidth="1"/>
    <col min="7" max="7" width="15" customWidth="1"/>
    <col min="8" max="8" width="14" customWidth="1"/>
    <col min="9" max="9" width="25" customWidth="1"/>
    <col min="10" max="10" width="12" customWidth="1"/>
    <col min="11" max="11" width="11" customWidth="1"/>
    <col min="12" max="12" width="23" customWidth="1"/>
    <col min="13" max="13" width="16" customWidth="1"/>
    <col min="14" max="14" width="15" customWidth="1"/>
    <col min="15" max="15" width="23" customWidth="1"/>
    <col min="16" max="16" width="15" customWidth="1"/>
    <col min="17" max="17" width="14" customWidth="1"/>
    <col min="18" max="18" width="12" customWidth="1"/>
  </cols>
  <sheetData>
    <row r="1" spans="1:18" ht="16.8" x14ac:dyDescent="0.3">
      <c r="A1" s="8" t="s">
        <v>157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x14ac:dyDescent="0.3">
      <c r="A3" s="1" t="s">
        <v>1</v>
      </c>
      <c r="B3" s="1" t="s">
        <v>2</v>
      </c>
      <c r="C3" s="1" t="s">
        <v>3</v>
      </c>
      <c r="D3" s="1" t="s">
        <v>7</v>
      </c>
      <c r="E3" s="1" t="s">
        <v>16</v>
      </c>
      <c r="F3" s="1" t="s">
        <v>158</v>
      </c>
      <c r="G3" s="1" t="s">
        <v>8</v>
      </c>
      <c r="H3" s="1" t="s">
        <v>17</v>
      </c>
      <c r="I3" s="1" t="s">
        <v>159</v>
      </c>
      <c r="J3" s="1" t="s">
        <v>9</v>
      </c>
      <c r="K3" s="1" t="s">
        <v>18</v>
      </c>
      <c r="L3" s="1" t="s">
        <v>160</v>
      </c>
      <c r="M3" s="1" t="s">
        <v>10</v>
      </c>
      <c r="N3" s="1" t="s">
        <v>19</v>
      </c>
      <c r="O3" s="1" t="s">
        <v>161</v>
      </c>
      <c r="P3" s="1" t="s">
        <v>12</v>
      </c>
      <c r="Q3" s="1" t="s">
        <v>21</v>
      </c>
      <c r="R3" s="1" t="s">
        <v>162</v>
      </c>
    </row>
    <row r="4" spans="1:18" x14ac:dyDescent="0.3">
      <c r="A4" s="2" t="s">
        <v>36</v>
      </c>
      <c r="B4" s="2" t="s">
        <v>37</v>
      </c>
      <c r="C4" s="2" t="s">
        <v>38</v>
      </c>
      <c r="D4" s="2">
        <v>-0.88</v>
      </c>
      <c r="E4" s="2">
        <v>-9.7799999999999994</v>
      </c>
      <c r="F4" s="5">
        <v>-8.8999999999999986</v>
      </c>
      <c r="G4" s="2">
        <v>8.0000000000000004E-4</v>
      </c>
      <c r="H4" s="2">
        <v>-1.2137</v>
      </c>
      <c r="I4" s="2">
        <v>-1.2144999999999999</v>
      </c>
      <c r="J4" s="2">
        <v>-14.89</v>
      </c>
      <c r="K4" s="2">
        <v>-12.27</v>
      </c>
      <c r="L4" s="2">
        <v>2.620000000000001</v>
      </c>
      <c r="M4" s="2">
        <v>36.840000000000003</v>
      </c>
      <c r="N4" s="2">
        <v>33.33</v>
      </c>
      <c r="O4" s="2">
        <v>-3.5100000000000051</v>
      </c>
      <c r="P4" s="2">
        <v>7</v>
      </c>
      <c r="Q4" s="2">
        <v>3</v>
      </c>
      <c r="R4" s="2">
        <v>-4</v>
      </c>
    </row>
    <row r="5" spans="1:18" x14ac:dyDescent="0.3">
      <c r="A5" s="2" t="s">
        <v>44</v>
      </c>
      <c r="B5" s="2" t="s">
        <v>45</v>
      </c>
      <c r="C5" s="2" t="s">
        <v>38</v>
      </c>
      <c r="D5" s="2">
        <v>-1.33</v>
      </c>
      <c r="E5" s="2">
        <v>4.9800000000000004</v>
      </c>
      <c r="F5" s="3">
        <v>6.31</v>
      </c>
      <c r="G5" s="2">
        <v>0.1361</v>
      </c>
      <c r="H5" s="2">
        <v>0.24279999999999999</v>
      </c>
      <c r="I5" s="2">
        <v>0.1067</v>
      </c>
      <c r="J5" s="2">
        <v>-29.59</v>
      </c>
      <c r="K5" s="2">
        <v>-16.16</v>
      </c>
      <c r="L5" s="2">
        <v>13.43</v>
      </c>
      <c r="M5" s="2">
        <v>49.84</v>
      </c>
      <c r="N5" s="2">
        <v>48.91</v>
      </c>
      <c r="O5" s="2">
        <v>-0.93000000000000682</v>
      </c>
      <c r="P5" s="2">
        <v>12</v>
      </c>
      <c r="Q5" s="2">
        <v>7</v>
      </c>
      <c r="R5" s="2">
        <v>-5</v>
      </c>
    </row>
    <row r="6" spans="1:18" x14ac:dyDescent="0.3">
      <c r="A6" s="2" t="s">
        <v>50</v>
      </c>
      <c r="B6" s="2" t="s">
        <v>51</v>
      </c>
      <c r="C6" s="2" t="s">
        <v>52</v>
      </c>
      <c r="D6" s="2">
        <v>-9.17</v>
      </c>
      <c r="E6" s="2">
        <v>-35.32</v>
      </c>
      <c r="F6" s="5">
        <v>-26.15</v>
      </c>
      <c r="G6" s="2">
        <v>-1.4999999999999999E-2</v>
      </c>
      <c r="H6" s="2">
        <v>-1.7194</v>
      </c>
      <c r="I6" s="2">
        <v>-1.7043999999999999</v>
      </c>
      <c r="J6" s="2">
        <v>-50.49</v>
      </c>
      <c r="K6" s="2">
        <v>-35.32</v>
      </c>
      <c r="L6" s="2">
        <v>15.17</v>
      </c>
      <c r="M6" s="2">
        <v>42.68</v>
      </c>
      <c r="N6" s="2">
        <v>38.78</v>
      </c>
      <c r="O6" s="2">
        <v>-3.899999999999999</v>
      </c>
      <c r="P6" s="2">
        <v>24</v>
      </c>
      <c r="Q6" s="2">
        <v>11</v>
      </c>
      <c r="R6" s="2">
        <v>-13</v>
      </c>
    </row>
    <row r="7" spans="1:18" x14ac:dyDescent="0.3">
      <c r="A7" s="2" t="s">
        <v>56</v>
      </c>
      <c r="B7" s="2" t="s">
        <v>57</v>
      </c>
      <c r="C7" s="2" t="s">
        <v>38</v>
      </c>
      <c r="D7" s="2">
        <v>42.49</v>
      </c>
      <c r="E7" s="2">
        <v>-10.53</v>
      </c>
      <c r="F7" s="5">
        <v>-53.02</v>
      </c>
      <c r="G7" s="2">
        <v>1.0291999999999999</v>
      </c>
      <c r="H7" s="2">
        <v>-0.29370000000000002</v>
      </c>
      <c r="I7" s="2">
        <v>-1.3229</v>
      </c>
      <c r="J7" s="2">
        <v>-14.61</v>
      </c>
      <c r="K7" s="2">
        <v>-22.65</v>
      </c>
      <c r="L7" s="2">
        <v>-8.0399999999999991</v>
      </c>
      <c r="M7" s="2">
        <v>48.44</v>
      </c>
      <c r="N7" s="2">
        <v>48.28</v>
      </c>
      <c r="O7" s="2">
        <v>-0.15999999999999659</v>
      </c>
      <c r="P7" s="2">
        <v>13</v>
      </c>
      <c r="Q7" s="2">
        <v>8</v>
      </c>
      <c r="R7" s="2">
        <v>-5</v>
      </c>
    </row>
    <row r="8" spans="1:18" x14ac:dyDescent="0.3">
      <c r="A8" s="2" t="s">
        <v>61</v>
      </c>
      <c r="B8" s="2" t="s">
        <v>62</v>
      </c>
      <c r="C8" s="2" t="s">
        <v>52</v>
      </c>
      <c r="D8" s="2">
        <v>18.43</v>
      </c>
      <c r="E8" s="2">
        <v>7.96</v>
      </c>
      <c r="F8" s="5">
        <v>-10.47</v>
      </c>
      <c r="G8" s="2">
        <v>0.76680000000000004</v>
      </c>
      <c r="H8" s="2">
        <v>0.48980000000000001</v>
      </c>
      <c r="I8" s="2">
        <v>-0.27700000000000002</v>
      </c>
      <c r="J8" s="2">
        <v>-8.35</v>
      </c>
      <c r="K8" s="2">
        <v>-7.09</v>
      </c>
      <c r="L8" s="2">
        <v>1.26</v>
      </c>
      <c r="M8" s="2">
        <v>48.65</v>
      </c>
      <c r="N8" s="2">
        <v>37.5</v>
      </c>
      <c r="O8" s="2">
        <v>-11.15</v>
      </c>
      <c r="P8" s="2">
        <v>10</v>
      </c>
      <c r="Q8" s="2">
        <v>4</v>
      </c>
      <c r="R8" s="2">
        <v>-6</v>
      </c>
    </row>
    <row r="9" spans="1:18" x14ac:dyDescent="0.3">
      <c r="A9" s="2" t="s">
        <v>66</v>
      </c>
      <c r="B9" s="2" t="s">
        <v>67</v>
      </c>
      <c r="C9" s="2" t="s">
        <v>68</v>
      </c>
      <c r="D9" s="2">
        <v>-27.58</v>
      </c>
      <c r="E9" s="2">
        <v>-16.38</v>
      </c>
      <c r="F9" s="3">
        <v>11.2</v>
      </c>
      <c r="G9" s="2">
        <v>-0.6028</v>
      </c>
      <c r="H9" s="2">
        <v>-1.0839000000000001</v>
      </c>
      <c r="I9" s="2">
        <v>-0.48110000000000008</v>
      </c>
      <c r="J9" s="2">
        <v>-40.35</v>
      </c>
      <c r="K9" s="2">
        <v>-16.77</v>
      </c>
      <c r="L9" s="2">
        <v>23.58</v>
      </c>
      <c r="M9" s="2">
        <v>43.24</v>
      </c>
      <c r="N9" s="2">
        <v>34.619999999999997</v>
      </c>
      <c r="O9" s="2">
        <v>-8.6200000000000045</v>
      </c>
      <c r="P9" s="2">
        <v>28</v>
      </c>
      <c r="Q9" s="2">
        <v>3</v>
      </c>
      <c r="R9" s="2">
        <v>-25</v>
      </c>
    </row>
    <row r="10" spans="1:18" x14ac:dyDescent="0.3">
      <c r="A10" s="2" t="s">
        <v>71</v>
      </c>
      <c r="B10" s="2" t="s">
        <v>62</v>
      </c>
      <c r="C10" s="2" t="s">
        <v>38</v>
      </c>
      <c r="D10" s="2">
        <v>483.72</v>
      </c>
      <c r="E10" s="2">
        <v>405.48</v>
      </c>
      <c r="F10" s="5">
        <v>-78.240000000000009</v>
      </c>
      <c r="G10" s="2">
        <v>2.0032999999999999</v>
      </c>
      <c r="H10" s="2">
        <v>2.1536</v>
      </c>
      <c r="I10" s="2">
        <v>0.1503000000000001</v>
      </c>
      <c r="J10" s="2">
        <v>-34.869999999999997</v>
      </c>
      <c r="K10" s="2">
        <v>-18.07</v>
      </c>
      <c r="L10" s="2">
        <v>16.8</v>
      </c>
      <c r="M10" s="2">
        <v>49.15</v>
      </c>
      <c r="N10" s="2">
        <v>50.75</v>
      </c>
      <c r="O10" s="2">
        <v>1.600000000000001</v>
      </c>
      <c r="P10" s="2">
        <v>18</v>
      </c>
      <c r="Q10" s="2">
        <v>9</v>
      </c>
      <c r="R10" s="2">
        <v>-9</v>
      </c>
    </row>
    <row r="11" spans="1:18" x14ac:dyDescent="0.3">
      <c r="A11" s="2" t="s">
        <v>76</v>
      </c>
      <c r="B11" s="2" t="s">
        <v>77</v>
      </c>
      <c r="C11" s="2" t="s">
        <v>52</v>
      </c>
      <c r="D11" s="2">
        <v>20.61</v>
      </c>
      <c r="E11" s="2">
        <v>-14.12</v>
      </c>
      <c r="F11" s="5">
        <v>-34.729999999999997</v>
      </c>
      <c r="G11" s="2">
        <v>0.54759999999999998</v>
      </c>
      <c r="H11" s="2">
        <v>-0.3659</v>
      </c>
      <c r="I11" s="2">
        <v>-0.91349999999999998</v>
      </c>
      <c r="J11" s="2">
        <v>-34.53</v>
      </c>
      <c r="K11" s="2">
        <v>-30.89</v>
      </c>
      <c r="L11" s="2">
        <v>3.640000000000001</v>
      </c>
      <c r="M11" s="2">
        <v>55.88</v>
      </c>
      <c r="N11" s="2">
        <v>53.57</v>
      </c>
      <c r="O11" s="2">
        <v>-2.3100000000000018</v>
      </c>
      <c r="P11" s="2">
        <v>37</v>
      </c>
      <c r="Q11" s="2">
        <v>25</v>
      </c>
      <c r="R11" s="2">
        <v>-12</v>
      </c>
    </row>
    <row r="12" spans="1:18" x14ac:dyDescent="0.3">
      <c r="A12" s="2" t="s">
        <v>80</v>
      </c>
      <c r="B12" s="2" t="s">
        <v>81</v>
      </c>
      <c r="C12" s="2" t="s">
        <v>38</v>
      </c>
      <c r="D12" s="2">
        <v>0.03</v>
      </c>
      <c r="E12" s="2">
        <v>-16.329999999999998</v>
      </c>
      <c r="F12" s="5">
        <v>-16.36</v>
      </c>
      <c r="G12" s="2">
        <v>8.72E-2</v>
      </c>
      <c r="H12" s="2">
        <v>-0.42509999999999998</v>
      </c>
      <c r="I12" s="2">
        <v>-0.51229999999999998</v>
      </c>
      <c r="J12" s="2">
        <v>-19.989999999999998</v>
      </c>
      <c r="K12" s="2">
        <v>-22.08</v>
      </c>
      <c r="L12" s="2">
        <v>-2.09</v>
      </c>
      <c r="M12" s="2">
        <v>53.38</v>
      </c>
      <c r="N12" s="2">
        <v>56.67</v>
      </c>
      <c r="O12" s="2">
        <v>3.2899999999999991</v>
      </c>
      <c r="P12" s="2">
        <v>9</v>
      </c>
      <c r="Q12" s="2">
        <v>5</v>
      </c>
      <c r="R12" s="2">
        <v>-4</v>
      </c>
    </row>
    <row r="13" spans="1:18" x14ac:dyDescent="0.3">
      <c r="A13" s="2" t="s">
        <v>84</v>
      </c>
      <c r="B13" s="2" t="s">
        <v>37</v>
      </c>
      <c r="C13" s="2" t="s">
        <v>52</v>
      </c>
      <c r="D13" s="2">
        <v>78.5</v>
      </c>
      <c r="E13" s="2">
        <v>36.79</v>
      </c>
      <c r="F13" s="5">
        <v>-41.71</v>
      </c>
      <c r="G13" s="2">
        <v>0.93869999999999998</v>
      </c>
      <c r="H13" s="2">
        <v>0.63919999999999999</v>
      </c>
      <c r="I13" s="2">
        <v>-0.29949999999999999</v>
      </c>
      <c r="J13" s="2">
        <v>-25.06</v>
      </c>
      <c r="K13" s="2">
        <v>-25.06</v>
      </c>
      <c r="L13" s="2">
        <v>0</v>
      </c>
      <c r="M13" s="2">
        <v>51.56</v>
      </c>
      <c r="N13" s="2">
        <v>49.62</v>
      </c>
      <c r="O13" s="2">
        <v>-1.9400000000000051</v>
      </c>
      <c r="P13" s="2">
        <v>20</v>
      </c>
      <c r="Q13" s="2">
        <v>14</v>
      </c>
      <c r="R13" s="2">
        <v>-6</v>
      </c>
    </row>
    <row r="14" spans="1:18" x14ac:dyDescent="0.3">
      <c r="A14" s="2" t="s">
        <v>87</v>
      </c>
      <c r="B14" s="2" t="s">
        <v>67</v>
      </c>
      <c r="C14" s="2" t="s">
        <v>52</v>
      </c>
      <c r="D14" s="2">
        <v>-9.75</v>
      </c>
      <c r="E14" s="2">
        <v>4.38</v>
      </c>
      <c r="F14" s="3">
        <v>14.13</v>
      </c>
      <c r="G14" s="2">
        <v>-0.20930000000000001</v>
      </c>
      <c r="H14" s="2">
        <v>0.22040000000000001</v>
      </c>
      <c r="I14" s="2">
        <v>0.42970000000000003</v>
      </c>
      <c r="J14" s="2">
        <v>-21.49</v>
      </c>
      <c r="K14" s="2">
        <v>-16.670000000000002</v>
      </c>
      <c r="L14" s="2">
        <v>4.8199999999999967</v>
      </c>
      <c r="M14" s="2">
        <v>50</v>
      </c>
      <c r="N14" s="2">
        <v>55.32</v>
      </c>
      <c r="O14" s="2">
        <v>5.32</v>
      </c>
      <c r="P14" s="2">
        <v>18</v>
      </c>
      <c r="Q14" s="2">
        <v>14</v>
      </c>
      <c r="R14" s="2">
        <v>-4</v>
      </c>
    </row>
    <row r="15" spans="1:18" x14ac:dyDescent="0.3">
      <c r="A15" s="2" t="s">
        <v>91</v>
      </c>
      <c r="B15" s="2" t="s">
        <v>92</v>
      </c>
      <c r="C15" s="2" t="s">
        <v>38</v>
      </c>
      <c r="D15" s="2">
        <v>19.329999999999998</v>
      </c>
      <c r="E15" s="2">
        <v>7.73</v>
      </c>
      <c r="F15" s="5">
        <v>-11.6</v>
      </c>
      <c r="G15" s="2">
        <v>0.4274</v>
      </c>
      <c r="H15" s="2">
        <v>0.28839999999999999</v>
      </c>
      <c r="I15" s="2">
        <v>-0.13900000000000001</v>
      </c>
      <c r="J15" s="2">
        <v>-28.7</v>
      </c>
      <c r="K15" s="2">
        <v>-28.7</v>
      </c>
      <c r="L15" s="2">
        <v>0</v>
      </c>
      <c r="M15" s="2">
        <v>42.18</v>
      </c>
      <c r="N15" s="2">
        <v>40.369999999999997</v>
      </c>
      <c r="O15" s="2">
        <v>-1.8100000000000021</v>
      </c>
      <c r="P15" s="2">
        <v>5</v>
      </c>
      <c r="Q15" s="2">
        <v>4</v>
      </c>
      <c r="R15" s="2">
        <v>-1</v>
      </c>
    </row>
    <row r="16" spans="1:18" x14ac:dyDescent="0.3">
      <c r="A16" s="2" t="s">
        <v>95</v>
      </c>
      <c r="B16" s="2" t="s">
        <v>45</v>
      </c>
      <c r="C16" s="2" t="s">
        <v>52</v>
      </c>
      <c r="D16" s="2">
        <v>188.49</v>
      </c>
      <c r="E16" s="2">
        <v>47.1</v>
      </c>
      <c r="F16" s="5">
        <v>-141.38999999999999</v>
      </c>
      <c r="G16" s="2">
        <v>1.0972999999999999</v>
      </c>
      <c r="H16" s="2">
        <v>0.62439999999999996</v>
      </c>
      <c r="I16" s="2">
        <v>-0.47289999999999999</v>
      </c>
      <c r="J16" s="2">
        <v>-36.93</v>
      </c>
      <c r="K16" s="2">
        <v>-50.67</v>
      </c>
      <c r="L16" s="2">
        <v>-13.74</v>
      </c>
      <c r="M16" s="2">
        <v>43.58</v>
      </c>
      <c r="N16" s="2">
        <v>45.22</v>
      </c>
      <c r="O16" s="2">
        <v>1.640000000000001</v>
      </c>
      <c r="P16" s="2">
        <v>26</v>
      </c>
      <c r="Q16" s="2">
        <v>13</v>
      </c>
      <c r="R16" s="2">
        <v>-13</v>
      </c>
    </row>
    <row r="17" spans="1:18" x14ac:dyDescent="0.3">
      <c r="A17" s="2" t="s">
        <v>98</v>
      </c>
      <c r="B17" s="2" t="s">
        <v>77</v>
      </c>
      <c r="C17" s="2" t="s">
        <v>38</v>
      </c>
      <c r="D17" s="2">
        <v>10.98</v>
      </c>
      <c r="E17" s="2">
        <v>6.93</v>
      </c>
      <c r="F17" s="5">
        <v>-4.0500000000000007</v>
      </c>
      <c r="G17" s="2">
        <v>0.34699999999999998</v>
      </c>
      <c r="H17" s="2">
        <v>0.26889999999999997</v>
      </c>
      <c r="I17" s="2">
        <v>-7.8100000000000003E-2</v>
      </c>
      <c r="J17" s="2">
        <v>-18.77</v>
      </c>
      <c r="K17" s="2">
        <v>-26.14</v>
      </c>
      <c r="L17" s="2">
        <v>-7.370000000000001</v>
      </c>
      <c r="M17" s="2">
        <v>49.47</v>
      </c>
      <c r="N17" s="2">
        <v>47.62</v>
      </c>
      <c r="O17" s="2">
        <v>-1.850000000000001</v>
      </c>
      <c r="P17" s="2">
        <v>14</v>
      </c>
      <c r="Q17" s="2">
        <v>11</v>
      </c>
      <c r="R17" s="2">
        <v>-3</v>
      </c>
    </row>
    <row r="18" spans="1:18" x14ac:dyDescent="0.3">
      <c r="A18" s="2" t="s">
        <v>101</v>
      </c>
      <c r="B18" s="2" t="s">
        <v>92</v>
      </c>
      <c r="C18" s="2" t="s">
        <v>52</v>
      </c>
      <c r="D18" s="2">
        <v>-18.3</v>
      </c>
      <c r="E18" s="2">
        <v>-7.45</v>
      </c>
      <c r="F18" s="3">
        <v>10.85</v>
      </c>
      <c r="G18" s="2">
        <v>-0.30230000000000001</v>
      </c>
      <c r="H18" s="2">
        <v>-5.91E-2</v>
      </c>
      <c r="I18" s="2">
        <v>0.2432</v>
      </c>
      <c r="J18" s="2">
        <v>-31.77</v>
      </c>
      <c r="K18" s="2">
        <v>-22.17</v>
      </c>
      <c r="L18" s="2">
        <v>9.5999999999999979</v>
      </c>
      <c r="M18" s="2">
        <v>46.41</v>
      </c>
      <c r="N18" s="2">
        <v>47.15</v>
      </c>
      <c r="O18" s="2">
        <v>0.74000000000000199</v>
      </c>
      <c r="P18" s="2">
        <v>21</v>
      </c>
      <c r="Q18" s="2">
        <v>17</v>
      </c>
      <c r="R18" s="2">
        <v>-4</v>
      </c>
    </row>
    <row r="19" spans="1:18" x14ac:dyDescent="0.3">
      <c r="A19" s="2" t="s">
        <v>104</v>
      </c>
      <c r="B19" s="2" t="s">
        <v>105</v>
      </c>
      <c r="C19" s="2" t="s">
        <v>52</v>
      </c>
      <c r="D19" s="2">
        <v>-8.4</v>
      </c>
      <c r="E19" s="2">
        <v>-1.83</v>
      </c>
      <c r="F19" s="3">
        <v>6.57</v>
      </c>
      <c r="G19" s="2">
        <v>-4.7199999999999999E-2</v>
      </c>
      <c r="H19" s="2">
        <v>-6.6100000000000006E-2</v>
      </c>
      <c r="I19" s="2">
        <v>-1.8900000000000011E-2</v>
      </c>
      <c r="J19" s="2">
        <v>-32.54</v>
      </c>
      <c r="K19" s="2">
        <v>-10.43</v>
      </c>
      <c r="L19" s="2">
        <v>22.11</v>
      </c>
      <c r="M19" s="2">
        <v>35.590000000000003</v>
      </c>
      <c r="N19" s="2">
        <v>28.57</v>
      </c>
      <c r="O19" s="2">
        <v>-7.0200000000000031</v>
      </c>
      <c r="P19" s="2">
        <v>17</v>
      </c>
      <c r="Q19" s="2">
        <v>3</v>
      </c>
      <c r="R19" s="2">
        <v>-14</v>
      </c>
    </row>
    <row r="20" spans="1:18" x14ac:dyDescent="0.3">
      <c r="A20" s="2" t="s">
        <v>108</v>
      </c>
      <c r="B20" s="2" t="s">
        <v>109</v>
      </c>
      <c r="C20" s="2" t="s">
        <v>52</v>
      </c>
      <c r="D20" s="2">
        <v>52.82</v>
      </c>
      <c r="E20" s="2">
        <v>-8.59</v>
      </c>
      <c r="F20" s="5">
        <v>-61.41</v>
      </c>
      <c r="G20" s="2">
        <v>0.875</v>
      </c>
      <c r="H20" s="2">
        <v>-0.31140000000000001</v>
      </c>
      <c r="I20" s="2">
        <v>-1.1863999999999999</v>
      </c>
      <c r="J20" s="2">
        <v>-17.96</v>
      </c>
      <c r="K20" s="2">
        <v>-17.96</v>
      </c>
      <c r="L20" s="2">
        <v>0</v>
      </c>
      <c r="M20" s="2">
        <v>51.72</v>
      </c>
      <c r="N20" s="2">
        <v>42.86</v>
      </c>
      <c r="O20" s="2">
        <v>-8.86</v>
      </c>
      <c r="P20" s="2">
        <v>16</v>
      </c>
      <c r="Q20" s="2">
        <v>10</v>
      </c>
      <c r="R20" s="2">
        <v>-6</v>
      </c>
    </row>
    <row r="21" spans="1:18" x14ac:dyDescent="0.3">
      <c r="A21" s="2" t="s">
        <v>112</v>
      </c>
      <c r="B21" s="2" t="s">
        <v>67</v>
      </c>
      <c r="C21" s="2" t="s">
        <v>113</v>
      </c>
      <c r="D21" s="2">
        <v>-16.95</v>
      </c>
      <c r="E21" s="2">
        <v>-8.17</v>
      </c>
      <c r="F21" s="3">
        <v>8.7799999999999994</v>
      </c>
      <c r="G21" s="2">
        <v>-0.26889999999999997</v>
      </c>
      <c r="H21" s="2">
        <v>-0.30969999999999998</v>
      </c>
      <c r="I21" s="2">
        <v>-4.0800000000000003E-2</v>
      </c>
      <c r="J21" s="2">
        <v>-32.869999999999997</v>
      </c>
      <c r="K21" s="2">
        <v>-17.489999999999998</v>
      </c>
      <c r="L21" s="2">
        <v>15.38</v>
      </c>
      <c r="M21" s="2">
        <v>46.09</v>
      </c>
      <c r="N21" s="2">
        <v>50</v>
      </c>
      <c r="O21" s="2">
        <v>3.909999999999997</v>
      </c>
      <c r="P21" s="2">
        <v>13</v>
      </c>
      <c r="Q21" s="2">
        <v>7</v>
      </c>
      <c r="R21" s="2">
        <v>-6</v>
      </c>
    </row>
    <row r="22" spans="1:18" x14ac:dyDescent="0.3">
      <c r="A22" s="2" t="s">
        <v>116</v>
      </c>
      <c r="B22" s="2" t="s">
        <v>105</v>
      </c>
      <c r="C22" s="2" t="s">
        <v>38</v>
      </c>
      <c r="D22" s="2">
        <v>12.27</v>
      </c>
      <c r="E22" s="2">
        <v>59.08</v>
      </c>
      <c r="F22" s="3">
        <v>46.81</v>
      </c>
      <c r="G22" s="2">
        <v>0.58789999999999998</v>
      </c>
      <c r="H22" s="2">
        <v>1.0558000000000001</v>
      </c>
      <c r="I22" s="2">
        <v>0.46790000000000009</v>
      </c>
      <c r="J22" s="2">
        <v>-15.34</v>
      </c>
      <c r="K22" s="2">
        <v>-2.27</v>
      </c>
      <c r="L22" s="2">
        <v>13.07</v>
      </c>
      <c r="M22" s="2">
        <v>62.96</v>
      </c>
      <c r="N22" s="2">
        <v>76.92</v>
      </c>
      <c r="O22" s="2">
        <v>13.96</v>
      </c>
      <c r="P22" s="2">
        <v>6</v>
      </c>
      <c r="Q22" s="2">
        <v>3</v>
      </c>
      <c r="R22" s="2">
        <v>-3</v>
      </c>
    </row>
    <row r="23" spans="1:18" x14ac:dyDescent="0.3">
      <c r="A23" s="2" t="s">
        <v>119</v>
      </c>
      <c r="B23" s="2" t="s">
        <v>57</v>
      </c>
      <c r="C23" s="2" t="s">
        <v>52</v>
      </c>
      <c r="D23" s="2">
        <v>-4.0199999999999996</v>
      </c>
      <c r="E23" s="2">
        <v>24.32</v>
      </c>
      <c r="F23" s="3">
        <v>28.34</v>
      </c>
      <c r="G23" s="2">
        <v>6.7000000000000004E-2</v>
      </c>
      <c r="H23" s="2">
        <v>0.5282</v>
      </c>
      <c r="I23" s="2">
        <v>0.4612</v>
      </c>
      <c r="J23" s="2">
        <v>-38.22</v>
      </c>
      <c r="K23" s="2">
        <v>-23.02</v>
      </c>
      <c r="L23" s="2">
        <v>15.2</v>
      </c>
      <c r="M23" s="2">
        <v>48.04</v>
      </c>
      <c r="N23" s="2">
        <v>52.11</v>
      </c>
      <c r="O23" s="2">
        <v>4.07</v>
      </c>
      <c r="P23" s="2">
        <v>44</v>
      </c>
      <c r="Q23" s="2">
        <v>31</v>
      </c>
      <c r="R23" s="2">
        <v>-13</v>
      </c>
    </row>
    <row r="24" spans="1:18" x14ac:dyDescent="0.3">
      <c r="A24" s="2" t="s">
        <v>122</v>
      </c>
      <c r="B24" s="2" t="s">
        <v>51</v>
      </c>
      <c r="C24" s="2" t="s">
        <v>38</v>
      </c>
      <c r="D24" s="2">
        <v>-9.82</v>
      </c>
      <c r="E24" s="2">
        <v>1.03</v>
      </c>
      <c r="F24" s="3">
        <v>10.85</v>
      </c>
      <c r="G24" s="2">
        <v>-0.1993</v>
      </c>
      <c r="H24" s="2">
        <v>0.1085</v>
      </c>
      <c r="I24" s="2">
        <v>0.30780000000000002</v>
      </c>
      <c r="J24" s="2">
        <v>-27.68</v>
      </c>
      <c r="K24" s="2">
        <v>-7.86</v>
      </c>
      <c r="L24" s="2">
        <v>19.82</v>
      </c>
      <c r="M24" s="2">
        <v>40.29</v>
      </c>
      <c r="N24" s="2">
        <v>47.06</v>
      </c>
      <c r="O24" s="2">
        <v>6.7700000000000031</v>
      </c>
      <c r="P24" s="2">
        <v>13</v>
      </c>
      <c r="Q24" s="2">
        <v>5</v>
      </c>
      <c r="R24" s="2">
        <v>-8</v>
      </c>
    </row>
    <row r="25" spans="1:18" x14ac:dyDescent="0.3">
      <c r="A25" s="2" t="s">
        <v>125</v>
      </c>
      <c r="B25" s="2" t="s">
        <v>81</v>
      </c>
      <c r="C25" s="2" t="s">
        <v>52</v>
      </c>
      <c r="D25" s="2">
        <v>2.7</v>
      </c>
      <c r="E25" s="2">
        <v>24.39</v>
      </c>
      <c r="F25" s="3">
        <v>21.69</v>
      </c>
      <c r="G25" s="2">
        <v>0.1976</v>
      </c>
      <c r="H25" s="2">
        <v>0.59179999999999999</v>
      </c>
      <c r="I25" s="2">
        <v>0.39419999999999999</v>
      </c>
      <c r="J25" s="2">
        <v>-45.02</v>
      </c>
      <c r="K25" s="2">
        <v>-41.66</v>
      </c>
      <c r="L25" s="2">
        <v>3.360000000000007</v>
      </c>
      <c r="M25" s="2">
        <v>51.64</v>
      </c>
      <c r="N25" s="2">
        <v>60.87</v>
      </c>
      <c r="O25" s="2">
        <v>9.2299999999999969</v>
      </c>
      <c r="P25" s="2">
        <v>39</v>
      </c>
      <c r="Q25" s="2">
        <v>21</v>
      </c>
      <c r="R25" s="2">
        <v>-18</v>
      </c>
    </row>
    <row r="26" spans="1:18" x14ac:dyDescent="0.3">
      <c r="A26" s="2" t="s">
        <v>128</v>
      </c>
      <c r="B26" s="2" t="s">
        <v>109</v>
      </c>
      <c r="C26" s="2" t="s">
        <v>38</v>
      </c>
      <c r="D26" s="2">
        <v>76.53</v>
      </c>
      <c r="E26" s="2">
        <v>30.72</v>
      </c>
      <c r="F26" s="5">
        <v>-45.81</v>
      </c>
      <c r="G26" s="2">
        <v>1.2794000000000001</v>
      </c>
      <c r="H26" s="2">
        <v>1.1095999999999999</v>
      </c>
      <c r="I26" s="2">
        <v>-0.1698000000000002</v>
      </c>
      <c r="J26" s="2">
        <v>-8.32</v>
      </c>
      <c r="K26" s="2">
        <v>-6.81</v>
      </c>
      <c r="L26" s="2">
        <v>1.5100000000000009</v>
      </c>
      <c r="M26" s="2">
        <v>51.08</v>
      </c>
      <c r="N26" s="2">
        <v>52.69</v>
      </c>
      <c r="O26" s="2">
        <v>1.609999999999999</v>
      </c>
      <c r="P26" s="2">
        <v>39</v>
      </c>
      <c r="Q26" s="2">
        <v>23</v>
      </c>
      <c r="R26" s="2">
        <v>-16</v>
      </c>
    </row>
    <row r="28" spans="1:18" x14ac:dyDescent="0.3">
      <c r="A28" s="4" t="s">
        <v>163</v>
      </c>
    </row>
    <row r="29" spans="1:18" x14ac:dyDescent="0.3">
      <c r="A29" t="s">
        <v>164</v>
      </c>
      <c r="B29">
        <v>39.160899999999998</v>
      </c>
    </row>
    <row r="30" spans="1:18" x14ac:dyDescent="0.3">
      <c r="A30" t="s">
        <v>165</v>
      </c>
      <c r="B30">
        <v>23.147400000000001</v>
      </c>
    </row>
    <row r="31" spans="1:18" x14ac:dyDescent="0.3">
      <c r="A31" t="s">
        <v>166</v>
      </c>
      <c r="B31">
        <v>0.38019999999999998</v>
      </c>
    </row>
    <row r="32" spans="1:18" x14ac:dyDescent="0.3">
      <c r="A32" t="s">
        <v>167</v>
      </c>
      <c r="B32">
        <v>0.1075</v>
      </c>
    </row>
    <row r="33" spans="1:2" x14ac:dyDescent="0.3">
      <c r="A33" t="s">
        <v>168</v>
      </c>
      <c r="B33">
        <v>-27.319099999999999</v>
      </c>
    </row>
    <row r="34" spans="1:2" x14ac:dyDescent="0.3">
      <c r="A34" t="s">
        <v>169</v>
      </c>
      <c r="B34">
        <v>-20.791699999999999</v>
      </c>
    </row>
    <row r="35" spans="1:2" x14ac:dyDescent="0.3">
      <c r="A35" t="s">
        <v>170</v>
      </c>
      <c r="B35">
        <v>47.77</v>
      </c>
    </row>
    <row r="36" spans="1:2" x14ac:dyDescent="0.3">
      <c r="A36" t="s">
        <v>171</v>
      </c>
      <c r="B36">
        <v>47.773499999999999</v>
      </c>
    </row>
    <row r="37" spans="1:2" x14ac:dyDescent="0.3">
      <c r="A37" t="s">
        <v>172</v>
      </c>
      <c r="B37">
        <v>10</v>
      </c>
    </row>
    <row r="38" spans="1:2" x14ac:dyDescent="0.3">
      <c r="A38" t="s">
        <v>173</v>
      </c>
      <c r="B38">
        <v>16</v>
      </c>
    </row>
    <row r="39" spans="1:2" x14ac:dyDescent="0.3">
      <c r="A39" t="s">
        <v>174</v>
      </c>
      <c r="B39">
        <v>8</v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6"/>
  <sheetViews>
    <sheetView topLeftCell="P1" zoomScale="90" zoomScaleNormal="90" workbookViewId="0">
      <pane ySplit="3" topLeftCell="A4" activePane="bottomLeft" state="frozen"/>
      <selection pane="bottomLeft" activeCell="S27" sqref="S27"/>
    </sheetView>
  </sheetViews>
  <sheetFormatPr defaultRowHeight="14.4" x14ac:dyDescent="0.3"/>
  <cols>
    <col min="1" max="2" width="30" customWidth="1"/>
    <col min="3" max="3" width="21" customWidth="1"/>
    <col min="4" max="5" width="8" customWidth="1"/>
    <col min="6" max="6" width="18" customWidth="1"/>
    <col min="7" max="8" width="15" customWidth="1"/>
    <col min="9" max="9" width="19" customWidth="1"/>
    <col min="10" max="10" width="15" customWidth="1"/>
    <col min="11" max="11" width="17" customWidth="1"/>
    <col min="12" max="13" width="14" customWidth="1"/>
    <col min="14" max="14" width="18" customWidth="1"/>
    <col min="15" max="15" width="14" customWidth="1"/>
    <col min="16" max="17" width="11" customWidth="1"/>
    <col min="18" max="18" width="19" customWidth="1"/>
    <col min="19" max="19" width="18" customWidth="1"/>
    <col min="20" max="20" width="22.6640625" customWidth="1"/>
    <col min="21" max="21" width="21.44140625" customWidth="1"/>
  </cols>
  <sheetData>
    <row r="1" spans="1:21" ht="16.8" x14ac:dyDescent="0.3">
      <c r="A1" s="8" t="s">
        <v>175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3" spans="1:21" x14ac:dyDescent="0.3">
      <c r="A3" s="1" t="s">
        <v>1</v>
      </c>
      <c r="B3" s="1" t="s">
        <v>2</v>
      </c>
      <c r="C3" s="1" t="s">
        <v>3</v>
      </c>
      <c r="D3" s="1" t="s">
        <v>5</v>
      </c>
      <c r="E3" s="1" t="s">
        <v>6</v>
      </c>
      <c r="F3" s="1" t="s">
        <v>176</v>
      </c>
      <c r="G3" s="1" t="s">
        <v>8</v>
      </c>
      <c r="H3" s="1" t="s">
        <v>177</v>
      </c>
      <c r="I3" s="1" t="s">
        <v>178</v>
      </c>
      <c r="J3" s="1" t="s">
        <v>12</v>
      </c>
      <c r="K3" s="1" t="s">
        <v>179</v>
      </c>
      <c r="L3" s="1" t="s">
        <v>17</v>
      </c>
      <c r="M3" s="1" t="s">
        <v>180</v>
      </c>
      <c r="N3" s="1" t="s">
        <v>181</v>
      </c>
      <c r="O3" s="1" t="s">
        <v>21</v>
      </c>
      <c r="P3" s="1" t="s">
        <v>182</v>
      </c>
      <c r="Q3" s="1" t="s">
        <v>183</v>
      </c>
      <c r="R3" s="1" t="s">
        <v>184</v>
      </c>
      <c r="S3" s="1" t="s">
        <v>185</v>
      </c>
      <c r="T3" s="1" t="s">
        <v>214</v>
      </c>
      <c r="U3" s="1" t="s">
        <v>215</v>
      </c>
    </row>
    <row r="4" spans="1:21" x14ac:dyDescent="0.3">
      <c r="A4" s="2" t="s">
        <v>36</v>
      </c>
      <c r="B4" s="2" t="s">
        <v>37</v>
      </c>
      <c r="C4" s="2" t="s">
        <v>38</v>
      </c>
      <c r="D4" s="2" t="s">
        <v>40</v>
      </c>
      <c r="E4" s="2" t="s">
        <v>41</v>
      </c>
      <c r="F4" s="2">
        <v>-0.88</v>
      </c>
      <c r="G4" s="2">
        <v>8.0000000000000004E-4</v>
      </c>
      <c r="H4" s="2">
        <v>-14.89</v>
      </c>
      <c r="I4" s="2">
        <v>36.840000000000003</v>
      </c>
      <c r="J4" s="2">
        <v>7</v>
      </c>
      <c r="K4" s="5">
        <v>-9.7799999999999994</v>
      </c>
      <c r="L4" s="2">
        <v>-1.2137</v>
      </c>
      <c r="M4" s="2">
        <v>-12.27</v>
      </c>
      <c r="N4" s="2">
        <v>33.33</v>
      </c>
      <c r="O4" s="2">
        <v>3</v>
      </c>
      <c r="P4" s="2">
        <v>-15.72</v>
      </c>
      <c r="Q4" s="2">
        <v>-8</v>
      </c>
      <c r="R4" s="2">
        <v>14.84</v>
      </c>
      <c r="S4" s="2">
        <v>5.94</v>
      </c>
      <c r="T4">
        <f>F4-Q4</f>
        <v>7.12</v>
      </c>
      <c r="U4">
        <f>K4-Q4</f>
        <v>-1.7799999999999994</v>
      </c>
    </row>
    <row r="5" spans="1:21" x14ac:dyDescent="0.3">
      <c r="A5" s="2" t="s">
        <v>44</v>
      </c>
      <c r="B5" s="2" t="s">
        <v>45</v>
      </c>
      <c r="C5" s="2" t="s">
        <v>38</v>
      </c>
      <c r="D5" s="2" t="s">
        <v>46</v>
      </c>
      <c r="E5" s="2" t="s">
        <v>47</v>
      </c>
      <c r="F5" s="2">
        <v>-1.33</v>
      </c>
      <c r="G5" s="2">
        <v>0.1361</v>
      </c>
      <c r="H5" s="2">
        <v>-29.59</v>
      </c>
      <c r="I5" s="2">
        <v>49.84</v>
      </c>
      <c r="J5" s="2">
        <v>12</v>
      </c>
      <c r="K5" s="3">
        <v>4.9800000000000004</v>
      </c>
      <c r="L5" s="2">
        <v>0.24279999999999999</v>
      </c>
      <c r="M5" s="2">
        <v>-16.16</v>
      </c>
      <c r="N5" s="2">
        <v>48.91</v>
      </c>
      <c r="O5" s="2">
        <v>7</v>
      </c>
      <c r="P5" s="2">
        <v>-27.31</v>
      </c>
      <c r="Q5" s="2">
        <v>-17.059999999999999</v>
      </c>
      <c r="R5" s="2">
        <v>25.98</v>
      </c>
      <c r="S5" s="2">
        <v>32.29</v>
      </c>
      <c r="T5">
        <f t="shared" ref="T5:T25" si="0">F5-Q5</f>
        <v>15.729999999999999</v>
      </c>
      <c r="U5">
        <f>K5-Q5</f>
        <v>22.04</v>
      </c>
    </row>
    <row r="6" spans="1:21" x14ac:dyDescent="0.3">
      <c r="A6" s="2" t="s">
        <v>50</v>
      </c>
      <c r="B6" s="2" t="s">
        <v>51</v>
      </c>
      <c r="C6" s="2" t="s">
        <v>52</v>
      </c>
      <c r="D6" s="2" t="s">
        <v>54</v>
      </c>
      <c r="E6" s="2" t="s">
        <v>55</v>
      </c>
      <c r="F6" s="2">
        <v>-9.17</v>
      </c>
      <c r="G6" s="2">
        <v>-1.4999999999999999E-2</v>
      </c>
      <c r="H6" s="2">
        <v>-50.49</v>
      </c>
      <c r="I6" s="2">
        <v>42.68</v>
      </c>
      <c r="J6" s="2">
        <v>24</v>
      </c>
      <c r="K6" s="5">
        <v>-35.32</v>
      </c>
      <c r="L6" s="2">
        <v>-1.7194</v>
      </c>
      <c r="M6" s="2">
        <v>-35.32</v>
      </c>
      <c r="N6" s="2">
        <v>38.78</v>
      </c>
      <c r="O6" s="2">
        <v>11</v>
      </c>
      <c r="P6" s="2">
        <v>234.27</v>
      </c>
      <c r="Q6" s="2">
        <v>-46.08</v>
      </c>
      <c r="R6" s="2">
        <v>-243.43</v>
      </c>
      <c r="S6" s="2">
        <v>-269.58999999999997</v>
      </c>
      <c r="T6">
        <f t="shared" si="0"/>
        <v>36.909999999999997</v>
      </c>
      <c r="U6">
        <f>K6-Q6</f>
        <v>10.759999999999998</v>
      </c>
    </row>
    <row r="7" spans="1:21" x14ac:dyDescent="0.3">
      <c r="A7" s="2" t="s">
        <v>56</v>
      </c>
      <c r="B7" s="2" t="s">
        <v>57</v>
      </c>
      <c r="C7" s="2" t="s">
        <v>38</v>
      </c>
      <c r="D7" s="2" t="s">
        <v>58</v>
      </c>
      <c r="E7" s="2" t="s">
        <v>59</v>
      </c>
      <c r="F7" s="2">
        <v>42.49</v>
      </c>
      <c r="G7" s="2">
        <v>1.0291999999999999</v>
      </c>
      <c r="H7" s="2">
        <v>-14.61</v>
      </c>
      <c r="I7" s="2">
        <v>48.44</v>
      </c>
      <c r="J7" s="2">
        <v>13</v>
      </c>
      <c r="K7" s="5">
        <v>-10.53</v>
      </c>
      <c r="L7" s="2">
        <v>-0.29370000000000002</v>
      </c>
      <c r="M7" s="2">
        <v>-22.65</v>
      </c>
      <c r="N7" s="2">
        <v>48.28</v>
      </c>
      <c r="O7" s="2">
        <v>8</v>
      </c>
      <c r="P7" s="2">
        <v>-31.66</v>
      </c>
      <c r="Q7" s="2">
        <v>59.02</v>
      </c>
      <c r="R7" s="2">
        <v>74.150000000000006</v>
      </c>
      <c r="S7" s="2">
        <v>21.13</v>
      </c>
      <c r="T7">
        <f t="shared" si="0"/>
        <v>-16.53</v>
      </c>
      <c r="U7">
        <f>K7-Q7</f>
        <v>-69.55</v>
      </c>
    </row>
    <row r="8" spans="1:21" x14ac:dyDescent="0.3">
      <c r="A8" s="2" t="s">
        <v>61</v>
      </c>
      <c r="B8" s="2" t="s">
        <v>62</v>
      </c>
      <c r="C8" s="2" t="s">
        <v>52</v>
      </c>
      <c r="D8" s="2" t="s">
        <v>63</v>
      </c>
      <c r="E8" s="2" t="s">
        <v>64</v>
      </c>
      <c r="F8" s="2">
        <v>18.43</v>
      </c>
      <c r="G8" s="2">
        <v>0.76680000000000004</v>
      </c>
      <c r="H8" s="2">
        <v>-8.35</v>
      </c>
      <c r="I8" s="2">
        <v>48.65</v>
      </c>
      <c r="J8" s="2">
        <v>10</v>
      </c>
      <c r="K8" s="3">
        <v>7.96</v>
      </c>
      <c r="L8" s="2">
        <v>0.48980000000000001</v>
      </c>
      <c r="M8" s="2">
        <v>-7.09</v>
      </c>
      <c r="N8" s="2">
        <v>37.5</v>
      </c>
      <c r="O8" s="2">
        <v>4</v>
      </c>
      <c r="P8" s="2">
        <v>34.94</v>
      </c>
      <c r="Q8" s="2">
        <v>-30.42</v>
      </c>
      <c r="R8" s="2">
        <v>-16.510000000000002</v>
      </c>
      <c r="S8" s="2">
        <v>-26.98</v>
      </c>
      <c r="T8">
        <f t="shared" si="0"/>
        <v>48.85</v>
      </c>
      <c r="U8">
        <f>K8-Q8</f>
        <v>38.380000000000003</v>
      </c>
    </row>
    <row r="9" spans="1:21" x14ac:dyDescent="0.3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>
        <v>-27.58</v>
      </c>
      <c r="G9" s="2">
        <v>-0.6028</v>
      </c>
      <c r="H9" s="2">
        <v>-40.35</v>
      </c>
      <c r="I9" s="2">
        <v>43.24</v>
      </c>
      <c r="J9" s="2">
        <v>28</v>
      </c>
      <c r="K9" s="5">
        <v>-16.38</v>
      </c>
      <c r="L9" s="2">
        <v>-1.0839000000000001</v>
      </c>
      <c r="M9" s="2">
        <v>-16.77</v>
      </c>
      <c r="N9" s="2">
        <v>34.619999999999997</v>
      </c>
      <c r="O9" s="2">
        <v>3</v>
      </c>
      <c r="P9" s="2">
        <v>-18.7</v>
      </c>
      <c r="Q9" s="2">
        <v>-16.73</v>
      </c>
      <c r="R9" s="2">
        <v>-8.8800000000000008</v>
      </c>
      <c r="S9" s="2">
        <v>2.3199999999999998</v>
      </c>
      <c r="T9">
        <f t="shared" si="0"/>
        <v>-10.849999999999998</v>
      </c>
      <c r="U9">
        <f>K9-Q9</f>
        <v>0.35000000000000142</v>
      </c>
    </row>
    <row r="10" spans="1:21" x14ac:dyDescent="0.3">
      <c r="A10" s="2" t="s">
        <v>71</v>
      </c>
      <c r="B10" s="2" t="s">
        <v>62</v>
      </c>
      <c r="C10" s="2" t="s">
        <v>38</v>
      </c>
      <c r="D10" s="2" t="s">
        <v>72</v>
      </c>
      <c r="E10" s="2" t="s">
        <v>73</v>
      </c>
      <c r="F10" s="2">
        <v>483.72</v>
      </c>
      <c r="G10" s="2">
        <v>2.0032999999999999</v>
      </c>
      <c r="H10" s="2">
        <v>-34.869999999999997</v>
      </c>
      <c r="I10" s="2">
        <v>49.15</v>
      </c>
      <c r="J10" s="2">
        <v>18</v>
      </c>
      <c r="K10" s="3">
        <v>405.48</v>
      </c>
      <c r="L10" s="2">
        <v>2.1536</v>
      </c>
      <c r="M10" s="2">
        <v>-18.07</v>
      </c>
      <c r="N10" s="2">
        <v>50.75</v>
      </c>
      <c r="O10" s="2">
        <v>9</v>
      </c>
      <c r="P10" s="2">
        <v>17.28</v>
      </c>
      <c r="Q10" s="2">
        <v>3925.81</v>
      </c>
      <c r="R10" s="2">
        <v>466.44</v>
      </c>
      <c r="S10" s="2">
        <v>388.2</v>
      </c>
      <c r="T10">
        <f t="shared" si="0"/>
        <v>-3442.09</v>
      </c>
      <c r="U10">
        <f>K10-Q10</f>
        <v>-3520.33</v>
      </c>
    </row>
    <row r="11" spans="1:21" x14ac:dyDescent="0.3">
      <c r="A11" s="2" t="s">
        <v>76</v>
      </c>
      <c r="B11" s="2" t="s">
        <v>77</v>
      </c>
      <c r="C11" s="2" t="s">
        <v>52</v>
      </c>
      <c r="D11" s="2" t="s">
        <v>78</v>
      </c>
      <c r="E11" s="2" t="s">
        <v>79</v>
      </c>
      <c r="F11" s="2">
        <v>20.61</v>
      </c>
      <c r="G11" s="2">
        <v>0.54759999999999998</v>
      </c>
      <c r="H11" s="2">
        <v>-34.53</v>
      </c>
      <c r="I11" s="2">
        <v>55.88</v>
      </c>
      <c r="J11" s="2">
        <v>37</v>
      </c>
      <c r="K11" s="5">
        <v>-14.12</v>
      </c>
      <c r="L11" s="2">
        <v>-0.3659</v>
      </c>
      <c r="M11" s="2">
        <v>-30.89</v>
      </c>
      <c r="N11" s="2">
        <v>53.57</v>
      </c>
      <c r="O11" s="2">
        <v>25</v>
      </c>
      <c r="P11" s="2">
        <v>-36.79</v>
      </c>
      <c r="Q11" s="2">
        <v>49.04</v>
      </c>
      <c r="R11" s="2">
        <v>57.4</v>
      </c>
      <c r="S11" s="2">
        <v>22.67</v>
      </c>
      <c r="T11">
        <f t="shared" si="0"/>
        <v>-28.43</v>
      </c>
      <c r="U11">
        <f>K11-Q11</f>
        <v>-63.16</v>
      </c>
    </row>
    <row r="12" spans="1:21" x14ac:dyDescent="0.3">
      <c r="A12" s="2" t="s">
        <v>80</v>
      </c>
      <c r="B12" s="2" t="s">
        <v>81</v>
      </c>
      <c r="C12" s="2" t="s">
        <v>38</v>
      </c>
      <c r="D12" s="2" t="s">
        <v>82</v>
      </c>
      <c r="E12" s="2" t="s">
        <v>83</v>
      </c>
      <c r="F12" s="2">
        <v>0.03</v>
      </c>
      <c r="G12" s="2">
        <v>8.72E-2</v>
      </c>
      <c r="H12" s="2">
        <v>-19.989999999999998</v>
      </c>
      <c r="I12" s="2">
        <v>53.38</v>
      </c>
      <c r="J12" s="2">
        <v>9</v>
      </c>
      <c r="K12" s="5">
        <v>-16.329999999999998</v>
      </c>
      <c r="L12" s="2">
        <v>-0.42509999999999998</v>
      </c>
      <c r="M12" s="2">
        <v>-22.08</v>
      </c>
      <c r="N12" s="2">
        <v>56.67</v>
      </c>
      <c r="O12" s="2">
        <v>5</v>
      </c>
      <c r="P12" s="2">
        <v>907.69</v>
      </c>
      <c r="Q12" s="2">
        <v>-21.1</v>
      </c>
      <c r="R12" s="2">
        <v>-907.66</v>
      </c>
      <c r="S12" s="2">
        <v>-924.02</v>
      </c>
      <c r="T12">
        <f t="shared" si="0"/>
        <v>21.130000000000003</v>
      </c>
      <c r="U12">
        <f>K12-Q12</f>
        <v>4.7700000000000031</v>
      </c>
    </row>
    <row r="13" spans="1:21" x14ac:dyDescent="0.3">
      <c r="A13" s="2" t="s">
        <v>84</v>
      </c>
      <c r="B13" s="2" t="s">
        <v>37</v>
      </c>
      <c r="C13" s="2" t="s">
        <v>52</v>
      </c>
      <c r="D13" s="2" t="s">
        <v>85</v>
      </c>
      <c r="E13" s="2" t="s">
        <v>86</v>
      </c>
      <c r="F13" s="2">
        <v>78.5</v>
      </c>
      <c r="G13" s="2">
        <v>0.93869999999999998</v>
      </c>
      <c r="H13" s="2">
        <v>-25.06</v>
      </c>
      <c r="I13" s="2">
        <v>51.56</v>
      </c>
      <c r="J13" s="2">
        <v>20</v>
      </c>
      <c r="K13" s="3">
        <v>36.79</v>
      </c>
      <c r="L13" s="2">
        <v>0.63919999999999999</v>
      </c>
      <c r="M13" s="2">
        <v>-25.06</v>
      </c>
      <c r="N13" s="2">
        <v>49.62</v>
      </c>
      <c r="O13" s="2">
        <v>14</v>
      </c>
      <c r="P13" s="2">
        <v>100</v>
      </c>
      <c r="Q13" s="2">
        <v>88.57</v>
      </c>
      <c r="R13" s="2">
        <v>-21.5</v>
      </c>
      <c r="S13" s="2">
        <v>-63.21</v>
      </c>
      <c r="T13">
        <f t="shared" si="0"/>
        <v>-10.069999999999993</v>
      </c>
      <c r="U13">
        <f>K13-Q13</f>
        <v>-51.779999999999994</v>
      </c>
    </row>
    <row r="14" spans="1:21" x14ac:dyDescent="0.3">
      <c r="A14" s="2" t="s">
        <v>87</v>
      </c>
      <c r="B14" s="2" t="s">
        <v>67</v>
      </c>
      <c r="C14" s="2" t="s">
        <v>52</v>
      </c>
      <c r="D14" s="2" t="s">
        <v>88</v>
      </c>
      <c r="E14" s="2" t="s">
        <v>89</v>
      </c>
      <c r="F14" s="2">
        <v>-9.75</v>
      </c>
      <c r="G14" s="2">
        <v>-0.20930000000000001</v>
      </c>
      <c r="H14" s="2">
        <v>-21.49</v>
      </c>
      <c r="I14" s="2">
        <v>50</v>
      </c>
      <c r="J14" s="2">
        <v>18</v>
      </c>
      <c r="K14" s="3">
        <v>4.38</v>
      </c>
      <c r="L14" s="2">
        <v>0.22040000000000001</v>
      </c>
      <c r="M14" s="2">
        <v>-16.670000000000002</v>
      </c>
      <c r="N14" s="2">
        <v>55.32</v>
      </c>
      <c r="O14" s="2">
        <v>14</v>
      </c>
      <c r="P14" s="2">
        <v>233.33</v>
      </c>
      <c r="Q14" s="2">
        <v>-35.51</v>
      </c>
      <c r="R14" s="2">
        <v>-243.08</v>
      </c>
      <c r="S14" s="2">
        <v>-228.96</v>
      </c>
      <c r="T14">
        <f t="shared" si="0"/>
        <v>25.759999999999998</v>
      </c>
      <c r="U14">
        <f>K14-Q14</f>
        <v>39.89</v>
      </c>
    </row>
    <row r="15" spans="1:21" x14ac:dyDescent="0.3">
      <c r="A15" s="2" t="s">
        <v>91</v>
      </c>
      <c r="B15" s="2" t="s">
        <v>92</v>
      </c>
      <c r="C15" s="2" t="s">
        <v>38</v>
      </c>
      <c r="D15" s="2" t="s">
        <v>93</v>
      </c>
      <c r="E15" s="2" t="s">
        <v>94</v>
      </c>
      <c r="F15" s="2">
        <v>19.329999999999998</v>
      </c>
      <c r="G15" s="2">
        <v>0.4274</v>
      </c>
      <c r="H15" s="2">
        <v>-28.7</v>
      </c>
      <c r="I15" s="2">
        <v>42.18</v>
      </c>
      <c r="J15" s="2">
        <v>5</v>
      </c>
      <c r="K15" s="3">
        <v>7.73</v>
      </c>
      <c r="L15" s="2">
        <v>0.28839999999999999</v>
      </c>
      <c r="M15" s="2">
        <v>-28.7</v>
      </c>
      <c r="N15" s="2">
        <v>40.369999999999997</v>
      </c>
      <c r="O15" s="2">
        <v>4</v>
      </c>
      <c r="P15" s="2">
        <v>-60.98</v>
      </c>
      <c r="Q15" s="2">
        <v>-76.23</v>
      </c>
      <c r="R15" s="2">
        <v>80.319999999999993</v>
      </c>
      <c r="S15" s="2">
        <v>68.72</v>
      </c>
      <c r="T15">
        <f t="shared" si="0"/>
        <v>95.56</v>
      </c>
      <c r="U15">
        <f>K15-Q15</f>
        <v>83.960000000000008</v>
      </c>
    </row>
    <row r="16" spans="1:21" x14ac:dyDescent="0.3">
      <c r="A16" s="2" t="s">
        <v>95</v>
      </c>
      <c r="B16" s="2" t="s">
        <v>45</v>
      </c>
      <c r="C16" s="2" t="s">
        <v>52</v>
      </c>
      <c r="D16" s="2" t="s">
        <v>96</v>
      </c>
      <c r="E16" s="2" t="s">
        <v>97</v>
      </c>
      <c r="F16" s="2">
        <v>188.49</v>
      </c>
      <c r="G16" s="2">
        <v>1.0972999999999999</v>
      </c>
      <c r="H16" s="2">
        <v>-36.93</v>
      </c>
      <c r="I16" s="2">
        <v>43.58</v>
      </c>
      <c r="J16" s="2">
        <v>26</v>
      </c>
      <c r="K16" s="3">
        <v>47.1</v>
      </c>
      <c r="L16" s="2">
        <v>0.62439999999999996</v>
      </c>
      <c r="M16" s="2">
        <v>-50.67</v>
      </c>
      <c r="N16" s="2">
        <v>45.22</v>
      </c>
      <c r="O16" s="2">
        <v>13</v>
      </c>
      <c r="P16" s="2">
        <v>-16.850000000000001</v>
      </c>
      <c r="Q16" s="2">
        <v>164.41</v>
      </c>
      <c r="R16" s="2">
        <v>205.34</v>
      </c>
      <c r="S16" s="2">
        <v>63.95</v>
      </c>
      <c r="T16">
        <f t="shared" si="0"/>
        <v>24.080000000000013</v>
      </c>
      <c r="U16">
        <f>K16-Q16</f>
        <v>-117.31</v>
      </c>
    </row>
    <row r="17" spans="1:21" x14ac:dyDescent="0.3">
      <c r="A17" s="2" t="s">
        <v>98</v>
      </c>
      <c r="B17" s="2" t="s">
        <v>77</v>
      </c>
      <c r="C17" s="2" t="s">
        <v>38</v>
      </c>
      <c r="D17" s="2" t="s">
        <v>99</v>
      </c>
      <c r="E17" s="2" t="s">
        <v>100</v>
      </c>
      <c r="F17" s="2">
        <v>10.98</v>
      </c>
      <c r="G17" s="2">
        <v>0.34699999999999998</v>
      </c>
      <c r="H17" s="2">
        <v>-18.77</v>
      </c>
      <c r="I17" s="2">
        <v>49.47</v>
      </c>
      <c r="J17" s="2">
        <v>14</v>
      </c>
      <c r="K17" s="3">
        <v>6.93</v>
      </c>
      <c r="L17" s="2">
        <v>0.26889999999999997</v>
      </c>
      <c r="M17" s="2">
        <v>-26.14</v>
      </c>
      <c r="N17" s="2">
        <v>47.62</v>
      </c>
      <c r="O17" s="2">
        <v>11</v>
      </c>
      <c r="P17" s="2">
        <v>-38.520000000000003</v>
      </c>
      <c r="Q17" s="2">
        <v>21.57</v>
      </c>
      <c r="R17" s="2">
        <v>49.51</v>
      </c>
      <c r="S17" s="2">
        <v>45.45</v>
      </c>
      <c r="T17">
        <f t="shared" si="0"/>
        <v>-10.59</v>
      </c>
      <c r="U17">
        <f>K17-Q17</f>
        <v>-14.64</v>
      </c>
    </row>
    <row r="18" spans="1:21" x14ac:dyDescent="0.3">
      <c r="A18" s="2" t="s">
        <v>101</v>
      </c>
      <c r="B18" s="2" t="s">
        <v>92</v>
      </c>
      <c r="C18" s="2" t="s">
        <v>52</v>
      </c>
      <c r="D18" s="2" t="s">
        <v>102</v>
      </c>
      <c r="E18" s="2" t="s">
        <v>103</v>
      </c>
      <c r="F18" s="2">
        <v>-18.3</v>
      </c>
      <c r="G18" s="2">
        <v>-0.30230000000000001</v>
      </c>
      <c r="H18" s="2">
        <v>-31.77</v>
      </c>
      <c r="I18" s="2">
        <v>46.41</v>
      </c>
      <c r="J18" s="2">
        <v>21</v>
      </c>
      <c r="K18" s="5">
        <v>-7.45</v>
      </c>
      <c r="L18" s="2">
        <v>-5.91E-2</v>
      </c>
      <c r="M18" s="2">
        <v>-22.17</v>
      </c>
      <c r="N18" s="2">
        <v>47.15</v>
      </c>
      <c r="O18" s="2">
        <v>17</v>
      </c>
      <c r="P18" s="2">
        <v>-12.18</v>
      </c>
      <c r="Q18" s="2">
        <v>-5.68</v>
      </c>
      <c r="R18" s="2">
        <v>-6.13</v>
      </c>
      <c r="S18" s="2">
        <v>4.7300000000000004</v>
      </c>
      <c r="T18">
        <f t="shared" si="0"/>
        <v>-12.620000000000001</v>
      </c>
      <c r="U18">
        <f>K18-Q18</f>
        <v>-1.7700000000000005</v>
      </c>
    </row>
    <row r="19" spans="1:21" x14ac:dyDescent="0.3">
      <c r="A19" s="2" t="s">
        <v>104</v>
      </c>
      <c r="B19" s="2" t="s">
        <v>105</v>
      </c>
      <c r="C19" s="2" t="s">
        <v>52</v>
      </c>
      <c r="D19" s="2" t="s">
        <v>106</v>
      </c>
      <c r="E19" s="2" t="s">
        <v>107</v>
      </c>
      <c r="F19" s="2">
        <v>-8.4</v>
      </c>
      <c r="G19" s="2">
        <v>-4.7199999999999999E-2</v>
      </c>
      <c r="H19" s="2">
        <v>-32.54</v>
      </c>
      <c r="I19" s="2">
        <v>35.590000000000003</v>
      </c>
      <c r="J19" s="2">
        <v>17</v>
      </c>
      <c r="K19" s="5">
        <v>-1.83</v>
      </c>
      <c r="L19" s="2">
        <v>-6.6100000000000006E-2</v>
      </c>
      <c r="M19" s="2">
        <v>-10.43</v>
      </c>
      <c r="N19" s="2">
        <v>28.57</v>
      </c>
      <c r="O19" s="2">
        <v>3</v>
      </c>
      <c r="P19" s="2">
        <v>36.14</v>
      </c>
      <c r="Q19" s="2">
        <v>-6.76</v>
      </c>
      <c r="R19" s="2">
        <v>-44.55</v>
      </c>
      <c r="S19" s="2">
        <v>-37.97</v>
      </c>
      <c r="T19">
        <f t="shared" si="0"/>
        <v>-1.6400000000000006</v>
      </c>
      <c r="U19">
        <f>K19-Q19</f>
        <v>4.93</v>
      </c>
    </row>
    <row r="20" spans="1:21" x14ac:dyDescent="0.3">
      <c r="A20" s="2" t="s">
        <v>108</v>
      </c>
      <c r="B20" s="2" t="s">
        <v>109</v>
      </c>
      <c r="C20" s="2" t="s">
        <v>52</v>
      </c>
      <c r="D20" s="2" t="s">
        <v>110</v>
      </c>
      <c r="E20" s="2" t="s">
        <v>111</v>
      </c>
      <c r="F20" s="2">
        <v>52.82</v>
      </c>
      <c r="G20" s="2">
        <v>0.875</v>
      </c>
      <c r="H20" s="2">
        <v>-17.96</v>
      </c>
      <c r="I20" s="2">
        <v>51.72</v>
      </c>
      <c r="J20" s="2">
        <v>16</v>
      </c>
      <c r="K20" s="5">
        <v>-8.59</v>
      </c>
      <c r="L20" s="2">
        <v>-0.31140000000000001</v>
      </c>
      <c r="M20" s="2">
        <v>-17.96</v>
      </c>
      <c r="N20" s="2">
        <v>42.86</v>
      </c>
      <c r="O20" s="2">
        <v>10</v>
      </c>
      <c r="P20" s="2">
        <v>74.790000000000006</v>
      </c>
      <c r="Q20" s="2">
        <v>-61.66</v>
      </c>
      <c r="R20" s="2">
        <v>-21.97</v>
      </c>
      <c r="S20" s="2">
        <v>-83.38</v>
      </c>
      <c r="T20">
        <f t="shared" si="0"/>
        <v>114.47999999999999</v>
      </c>
      <c r="U20">
        <f>K20-Q20</f>
        <v>53.069999999999993</v>
      </c>
    </row>
    <row r="21" spans="1:21" x14ac:dyDescent="0.3">
      <c r="A21" s="2" t="s">
        <v>112</v>
      </c>
      <c r="B21" s="2" t="s">
        <v>67</v>
      </c>
      <c r="C21" s="2" t="s">
        <v>113</v>
      </c>
      <c r="D21" s="2" t="s">
        <v>114</v>
      </c>
      <c r="E21" s="2" t="s">
        <v>115</v>
      </c>
      <c r="F21" s="2">
        <v>-16.95</v>
      </c>
      <c r="G21" s="2">
        <v>-0.26889999999999997</v>
      </c>
      <c r="H21" s="2">
        <v>-32.869999999999997</v>
      </c>
      <c r="I21" s="2">
        <v>46.09</v>
      </c>
      <c r="J21" s="2">
        <v>13</v>
      </c>
      <c r="K21" s="5">
        <v>-8.17</v>
      </c>
      <c r="L21" s="2">
        <v>-0.30969999999999998</v>
      </c>
      <c r="M21" s="2">
        <v>-17.489999999999998</v>
      </c>
      <c r="N21" s="2">
        <v>50</v>
      </c>
      <c r="O21" s="2">
        <v>7</v>
      </c>
      <c r="P21" s="2">
        <v>-4.42</v>
      </c>
      <c r="Q21" s="2">
        <v>-3.73</v>
      </c>
      <c r="R21" s="2">
        <v>-12.53</v>
      </c>
      <c r="S21" s="2">
        <v>-3.75</v>
      </c>
      <c r="T21">
        <f t="shared" si="0"/>
        <v>-13.219999999999999</v>
      </c>
      <c r="U21">
        <f>K21-Q21</f>
        <v>-4.4399999999999995</v>
      </c>
    </row>
    <row r="22" spans="1:21" x14ac:dyDescent="0.3">
      <c r="A22" s="2" t="s">
        <v>116</v>
      </c>
      <c r="B22" s="2" t="s">
        <v>105</v>
      </c>
      <c r="C22" s="2" t="s">
        <v>38</v>
      </c>
      <c r="D22" s="2" t="s">
        <v>117</v>
      </c>
      <c r="E22" s="2" t="s">
        <v>118</v>
      </c>
      <c r="F22" s="2">
        <v>12.27</v>
      </c>
      <c r="G22" s="2">
        <v>0.58789999999999998</v>
      </c>
      <c r="H22" s="2">
        <v>-15.34</v>
      </c>
      <c r="I22" s="2">
        <v>62.96</v>
      </c>
      <c r="J22" s="2">
        <v>6</v>
      </c>
      <c r="K22" s="3">
        <v>59.08</v>
      </c>
      <c r="L22" s="2">
        <v>1.0558000000000001</v>
      </c>
      <c r="M22" s="2">
        <v>-2.27</v>
      </c>
      <c r="N22" s="2">
        <v>76.92</v>
      </c>
      <c r="O22" s="2">
        <v>3</v>
      </c>
      <c r="P22" s="2">
        <v>-24.83</v>
      </c>
      <c r="Q22" s="2">
        <v>36.909999999999997</v>
      </c>
      <c r="R22" s="2">
        <v>37.1</v>
      </c>
      <c r="S22" s="2">
        <v>83.92</v>
      </c>
      <c r="T22">
        <f t="shared" si="0"/>
        <v>-24.639999999999997</v>
      </c>
      <c r="U22">
        <f>K22-Q22</f>
        <v>22.17</v>
      </c>
    </row>
    <row r="23" spans="1:21" x14ac:dyDescent="0.3">
      <c r="A23" s="2" t="s">
        <v>119</v>
      </c>
      <c r="B23" s="2" t="s">
        <v>57</v>
      </c>
      <c r="C23" s="2" t="s">
        <v>52</v>
      </c>
      <c r="D23" s="2" t="s">
        <v>120</v>
      </c>
      <c r="E23" s="2" t="s">
        <v>121</v>
      </c>
      <c r="F23" s="2">
        <v>-4.0199999999999996</v>
      </c>
      <c r="G23" s="2">
        <v>6.7000000000000004E-2</v>
      </c>
      <c r="H23" s="2">
        <v>-38.22</v>
      </c>
      <c r="I23" s="2">
        <v>48.04</v>
      </c>
      <c r="J23" s="2">
        <v>44</v>
      </c>
      <c r="K23" s="3">
        <v>24.32</v>
      </c>
      <c r="L23" s="2">
        <v>0.5282</v>
      </c>
      <c r="M23" s="2">
        <v>-23.02</v>
      </c>
      <c r="N23" s="2">
        <v>52.11</v>
      </c>
      <c r="O23" s="2">
        <v>31</v>
      </c>
      <c r="P23" s="2">
        <v>92.68</v>
      </c>
      <c r="Q23" s="2">
        <v>5.63</v>
      </c>
      <c r="R23" s="2">
        <v>-96.69</v>
      </c>
      <c r="S23" s="2">
        <v>-68.349999999999994</v>
      </c>
      <c r="T23">
        <f t="shared" si="0"/>
        <v>-9.6499999999999986</v>
      </c>
      <c r="U23">
        <f>K23-Q23</f>
        <v>18.690000000000001</v>
      </c>
    </row>
    <row r="24" spans="1:21" x14ac:dyDescent="0.3">
      <c r="A24" s="2" t="s">
        <v>122</v>
      </c>
      <c r="B24" s="2" t="s">
        <v>51</v>
      </c>
      <c r="C24" s="2" t="s">
        <v>38</v>
      </c>
      <c r="D24" s="2" t="s">
        <v>123</v>
      </c>
      <c r="E24" s="2" t="s">
        <v>124</v>
      </c>
      <c r="F24" s="2">
        <v>-9.82</v>
      </c>
      <c r="G24" s="2">
        <v>-0.1993</v>
      </c>
      <c r="H24" s="2">
        <v>-27.68</v>
      </c>
      <c r="I24" s="2">
        <v>40.29</v>
      </c>
      <c r="J24" s="2">
        <v>13</v>
      </c>
      <c r="K24" s="3">
        <v>1.03</v>
      </c>
      <c r="L24" s="2">
        <v>0.1085</v>
      </c>
      <c r="M24" s="2">
        <v>-7.86</v>
      </c>
      <c r="N24" s="2">
        <v>47.06</v>
      </c>
      <c r="O24" s="2">
        <v>5</v>
      </c>
      <c r="P24" s="2">
        <v>15.29</v>
      </c>
      <c r="Q24" s="2">
        <v>-17.28</v>
      </c>
      <c r="R24" s="2">
        <v>-25.11</v>
      </c>
      <c r="S24" s="2">
        <v>-14.27</v>
      </c>
      <c r="T24">
        <f t="shared" si="0"/>
        <v>7.4600000000000009</v>
      </c>
      <c r="U24">
        <f>K24-Q24</f>
        <v>18.310000000000002</v>
      </c>
    </row>
    <row r="25" spans="1:21" x14ac:dyDescent="0.3">
      <c r="A25" s="2" t="s">
        <v>125</v>
      </c>
      <c r="B25" s="2" t="s">
        <v>81</v>
      </c>
      <c r="C25" s="2" t="s">
        <v>52</v>
      </c>
      <c r="D25" s="2" t="s">
        <v>126</v>
      </c>
      <c r="E25" s="2" t="s">
        <v>127</v>
      </c>
      <c r="F25" s="2">
        <v>2.7</v>
      </c>
      <c r="G25" s="2">
        <v>0.1976</v>
      </c>
      <c r="H25" s="2">
        <v>-45.02</v>
      </c>
      <c r="I25" s="2">
        <v>51.64</v>
      </c>
      <c r="J25" s="2">
        <v>39</v>
      </c>
      <c r="K25" s="3">
        <v>24.39</v>
      </c>
      <c r="L25" s="2">
        <v>0.59179999999999999</v>
      </c>
      <c r="M25" s="2">
        <v>-41.66</v>
      </c>
      <c r="N25" s="2">
        <v>60.87</v>
      </c>
      <c r="O25" s="2">
        <v>21</v>
      </c>
      <c r="P25" s="2">
        <v>126.89</v>
      </c>
      <c r="Q25" s="2">
        <v>9</v>
      </c>
      <c r="R25" s="2">
        <v>-124.19</v>
      </c>
      <c r="S25" s="2">
        <v>-102.5</v>
      </c>
      <c r="T25">
        <f t="shared" si="0"/>
        <v>-6.3</v>
      </c>
      <c r="U25">
        <f>K25-Q25</f>
        <v>15.39</v>
      </c>
    </row>
    <row r="26" spans="1:21" x14ac:dyDescent="0.3">
      <c r="A26" s="2" t="s">
        <v>128</v>
      </c>
      <c r="B26" s="2" t="s">
        <v>109</v>
      </c>
      <c r="C26" s="2" t="s">
        <v>38</v>
      </c>
      <c r="D26" s="2" t="s">
        <v>129</v>
      </c>
      <c r="E26" s="2" t="s">
        <v>130</v>
      </c>
      <c r="F26" s="2">
        <v>76.53</v>
      </c>
      <c r="G26" s="2">
        <v>1.2794000000000001</v>
      </c>
      <c r="H26" s="2">
        <v>-8.32</v>
      </c>
      <c r="I26" s="2">
        <v>51.08</v>
      </c>
      <c r="J26" s="2">
        <v>39</v>
      </c>
      <c r="K26" s="3">
        <v>30.72</v>
      </c>
      <c r="L26" s="2">
        <v>1.1095999999999999</v>
      </c>
      <c r="M26" s="2">
        <v>-6.81</v>
      </c>
      <c r="N26" s="2">
        <v>52.69</v>
      </c>
      <c r="O26" s="2">
        <v>23</v>
      </c>
      <c r="P26" s="2">
        <v>-11.86</v>
      </c>
      <c r="Q26" s="2">
        <v>11.38</v>
      </c>
      <c r="R26" s="2">
        <v>88.4</v>
      </c>
      <c r="S26" s="2">
        <v>42.58</v>
      </c>
      <c r="T26">
        <f>F26-Q26</f>
        <v>65.150000000000006</v>
      </c>
      <c r="U26">
        <f>K26-Q26</f>
        <v>19.339999999999996</v>
      </c>
    </row>
    <row r="27" spans="1:21" x14ac:dyDescent="0.3">
      <c r="F27">
        <f>AVERAGE(F4:F26)</f>
        <v>39.160869565217396</v>
      </c>
      <c r="G27">
        <f t="shared" ref="G27:U27" si="1">AVERAGE(G4:G26)</f>
        <v>0.38015217391304351</v>
      </c>
      <c r="H27">
        <f t="shared" si="1"/>
        <v>-27.319130434782604</v>
      </c>
      <c r="I27">
        <f t="shared" si="1"/>
        <v>47.77</v>
      </c>
      <c r="J27">
        <f t="shared" si="1"/>
        <v>19.521739130434781</v>
      </c>
      <c r="K27">
        <f t="shared" si="1"/>
        <v>23.147391304347831</v>
      </c>
      <c r="L27">
        <f t="shared" si="1"/>
        <v>0.1075391304347826</v>
      </c>
      <c r="M27">
        <f t="shared" si="1"/>
        <v>-20.791739130434781</v>
      </c>
      <c r="N27">
        <f t="shared" si="1"/>
        <v>47.773478260869567</v>
      </c>
      <c r="O27">
        <f t="shared" si="1"/>
        <v>10.913043478260869</v>
      </c>
      <c r="P27">
        <f t="shared" si="1"/>
        <v>68.412173913043489</v>
      </c>
      <c r="Q27">
        <f t="shared" si="1"/>
        <v>175.00434782608696</v>
      </c>
      <c r="R27">
        <f t="shared" si="1"/>
        <v>-29.249999999999996</v>
      </c>
      <c r="S27">
        <f t="shared" si="1"/>
        <v>-45.264347826086954</v>
      </c>
      <c r="T27">
        <f t="shared" si="1"/>
        <v>-135.84347826086955</v>
      </c>
      <c r="U27">
        <f t="shared" si="1"/>
        <v>-151.85695652173914</v>
      </c>
    </row>
    <row r="28" spans="1:21" x14ac:dyDescent="0.3">
      <c r="A28" s="4" t="s">
        <v>186</v>
      </c>
    </row>
    <row r="29" spans="1:21" x14ac:dyDescent="0.3">
      <c r="A29" s="7" t="s">
        <v>187</v>
      </c>
      <c r="B29" s="7">
        <v>23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21" x14ac:dyDescent="0.3">
      <c r="A30" s="7" t="s">
        <v>188</v>
      </c>
      <c r="B30" s="7">
        <v>13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21" x14ac:dyDescent="0.3">
      <c r="A31" s="7" t="s">
        <v>189</v>
      </c>
      <c r="B31" s="7">
        <v>13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21" x14ac:dyDescent="0.3">
      <c r="A32" s="7" t="s">
        <v>164</v>
      </c>
      <c r="B32" s="7">
        <v>39.159999999999997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">
      <c r="A33" s="7" t="s">
        <v>165</v>
      </c>
      <c r="B33" s="7">
        <v>23.15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7" t="s">
        <v>190</v>
      </c>
      <c r="B34" s="7">
        <v>2.7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3">
      <c r="A35" s="7" t="s">
        <v>191</v>
      </c>
      <c r="B35" s="7">
        <v>4.38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3">
      <c r="A36" s="7" t="s">
        <v>166</v>
      </c>
      <c r="B36" s="7">
        <v>0.38019999999999998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3">
      <c r="A37" s="7" t="s">
        <v>167</v>
      </c>
      <c r="B37" s="7">
        <v>0.1075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3">
      <c r="A38" s="7" t="s">
        <v>168</v>
      </c>
      <c r="B38" s="7">
        <v>-27.32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3">
      <c r="A39" s="7" t="s">
        <v>169</v>
      </c>
      <c r="B39" s="7">
        <v>-20.79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3">
      <c r="A40" s="7" t="s">
        <v>170</v>
      </c>
      <c r="B40" s="7">
        <v>47.77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3">
      <c r="A41" s="7" t="s">
        <v>171</v>
      </c>
      <c r="B41" s="7">
        <v>47.77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">
      <c r="A42" s="7" t="s">
        <v>192</v>
      </c>
      <c r="B42" s="7">
        <v>19.5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3">
      <c r="A43" s="7" t="s">
        <v>193</v>
      </c>
      <c r="B43" s="7">
        <v>10.9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">
      <c r="A44" s="7" t="s">
        <v>194</v>
      </c>
      <c r="B44" s="7">
        <v>68.41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">
      <c r="A45" s="7" t="s">
        <v>195</v>
      </c>
      <c r="B45" s="7" t="s">
        <v>71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3">
      <c r="A46" s="7" t="s">
        <v>196</v>
      </c>
      <c r="B46" s="7" t="s">
        <v>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30" customWidth="1"/>
    <col min="2" max="2" width="8" customWidth="1"/>
    <col min="3" max="3" width="11" customWidth="1"/>
    <col min="4" max="5" width="10" customWidth="1"/>
    <col min="6" max="6" width="6" customWidth="1"/>
    <col min="7" max="7" width="12" customWidth="1"/>
    <col min="8" max="8" width="17" customWidth="1"/>
    <col min="9" max="9" width="20" customWidth="1"/>
    <col min="10" max="10" width="16" customWidth="1"/>
    <col min="11" max="11" width="20" customWidth="1"/>
    <col min="12" max="12" width="16" customWidth="1"/>
    <col min="13" max="13" width="10" customWidth="1"/>
    <col min="14" max="16" width="11" customWidth="1"/>
  </cols>
  <sheetData>
    <row r="1" spans="1:16" ht="16.8" x14ac:dyDescent="0.3">
      <c r="A1" s="8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x14ac:dyDescent="0.3">
      <c r="A3" s="1" t="s">
        <v>1</v>
      </c>
      <c r="B3" s="1" t="s">
        <v>198</v>
      </c>
      <c r="C3" s="1" t="s">
        <v>29</v>
      </c>
      <c r="D3" s="1" t="s">
        <v>30</v>
      </c>
      <c r="E3" s="1" t="s">
        <v>199</v>
      </c>
      <c r="F3" s="1" t="s">
        <v>32</v>
      </c>
      <c r="G3" s="1" t="s">
        <v>33</v>
      </c>
      <c r="H3" s="1" t="s">
        <v>200</v>
      </c>
      <c r="I3" s="1" t="s">
        <v>201</v>
      </c>
      <c r="J3" s="1" t="s">
        <v>134</v>
      </c>
      <c r="K3" s="1" t="s">
        <v>202</v>
      </c>
      <c r="L3" s="1" t="s">
        <v>136</v>
      </c>
      <c r="M3" s="1" t="s">
        <v>203</v>
      </c>
      <c r="N3" s="1" t="s">
        <v>204</v>
      </c>
      <c r="O3" s="1" t="s">
        <v>205</v>
      </c>
      <c r="P3" s="1" t="s">
        <v>206</v>
      </c>
    </row>
    <row r="4" spans="1:16" x14ac:dyDescent="0.3">
      <c r="A4" s="2" t="s">
        <v>36</v>
      </c>
      <c r="B4" s="2">
        <v>1</v>
      </c>
      <c r="C4" s="2">
        <v>2.5</v>
      </c>
      <c r="D4" s="2">
        <v>0.25</v>
      </c>
      <c r="E4" s="2">
        <v>60</v>
      </c>
      <c r="F4" s="2" t="s">
        <v>42</v>
      </c>
      <c r="G4" s="2" t="s">
        <v>43</v>
      </c>
      <c r="H4" s="2" t="s">
        <v>207</v>
      </c>
      <c r="I4" s="2">
        <v>18.11</v>
      </c>
      <c r="J4" s="2">
        <v>0.8548</v>
      </c>
      <c r="K4" s="2">
        <v>-8.08</v>
      </c>
      <c r="L4" s="2">
        <v>48.28</v>
      </c>
      <c r="M4" s="2">
        <v>11</v>
      </c>
      <c r="N4" s="2">
        <v>5</v>
      </c>
      <c r="O4" s="2">
        <v>6</v>
      </c>
      <c r="P4" s="2">
        <v>0</v>
      </c>
    </row>
    <row r="5" spans="1:16" x14ac:dyDescent="0.3">
      <c r="A5" s="2" t="s">
        <v>44</v>
      </c>
      <c r="B5" s="2">
        <v>1</v>
      </c>
      <c r="C5" s="2">
        <v>1.5</v>
      </c>
      <c r="D5" s="2">
        <v>0</v>
      </c>
      <c r="E5" s="2">
        <v>40</v>
      </c>
      <c r="F5" s="2" t="s">
        <v>48</v>
      </c>
      <c r="G5" s="2" t="s">
        <v>49</v>
      </c>
      <c r="H5" s="2" t="s">
        <v>207</v>
      </c>
      <c r="I5" s="2">
        <v>19.41</v>
      </c>
      <c r="J5" s="2">
        <v>0.48859999999999998</v>
      </c>
      <c r="K5" s="2">
        <v>-31.04</v>
      </c>
      <c r="L5" s="2">
        <v>51.89</v>
      </c>
      <c r="M5" s="2">
        <v>19</v>
      </c>
      <c r="N5" s="2">
        <v>10</v>
      </c>
      <c r="O5" s="2">
        <v>9</v>
      </c>
      <c r="P5" s="2">
        <v>0</v>
      </c>
    </row>
    <row r="6" spans="1:16" x14ac:dyDescent="0.3">
      <c r="A6" s="2" t="s">
        <v>50</v>
      </c>
      <c r="B6" s="2">
        <v>1</v>
      </c>
      <c r="C6" s="2">
        <v>2</v>
      </c>
      <c r="D6" s="2">
        <v>0.5</v>
      </c>
      <c r="E6" s="2">
        <v>20</v>
      </c>
      <c r="F6" s="2" t="s">
        <v>48</v>
      </c>
      <c r="G6" s="2" t="s">
        <v>49</v>
      </c>
      <c r="H6" s="2" t="s">
        <v>207</v>
      </c>
      <c r="I6" s="2">
        <v>108.09</v>
      </c>
      <c r="J6" s="2">
        <v>1.2593000000000001</v>
      </c>
      <c r="K6" s="2">
        <v>-11.13</v>
      </c>
      <c r="L6" s="2">
        <v>51.32</v>
      </c>
      <c r="M6" s="2">
        <v>23</v>
      </c>
      <c r="N6" s="2">
        <v>4</v>
      </c>
      <c r="O6" s="2">
        <v>5</v>
      </c>
      <c r="P6" s="2">
        <v>14</v>
      </c>
    </row>
    <row r="7" spans="1:16" x14ac:dyDescent="0.3">
      <c r="A7" s="2" t="s">
        <v>56</v>
      </c>
      <c r="B7" s="2">
        <v>1</v>
      </c>
      <c r="C7" s="2">
        <v>2</v>
      </c>
      <c r="D7" s="2">
        <v>0.25</v>
      </c>
      <c r="E7" s="2">
        <v>40</v>
      </c>
      <c r="F7" s="2" t="s">
        <v>48</v>
      </c>
      <c r="G7" s="2" t="s">
        <v>60</v>
      </c>
      <c r="H7" s="2" t="s">
        <v>208</v>
      </c>
      <c r="I7" s="2">
        <v>142.58000000000001</v>
      </c>
      <c r="J7" s="2">
        <v>1.9419</v>
      </c>
      <c r="K7" s="2">
        <v>-10.74</v>
      </c>
      <c r="L7" s="2">
        <v>52.54</v>
      </c>
      <c r="M7" s="2">
        <v>14</v>
      </c>
      <c r="N7" s="2">
        <v>2</v>
      </c>
      <c r="O7" s="2">
        <v>6</v>
      </c>
      <c r="P7" s="2">
        <v>6</v>
      </c>
    </row>
    <row r="8" spans="1:16" x14ac:dyDescent="0.3">
      <c r="A8" s="2" t="s">
        <v>61</v>
      </c>
      <c r="B8" s="2">
        <v>1</v>
      </c>
      <c r="C8" s="2">
        <v>2.5</v>
      </c>
      <c r="D8" s="2">
        <v>0.25</v>
      </c>
      <c r="E8" s="2">
        <v>20</v>
      </c>
      <c r="F8" s="2" t="s">
        <v>43</v>
      </c>
      <c r="G8" s="2" t="s">
        <v>65</v>
      </c>
      <c r="H8" s="2" t="s">
        <v>207</v>
      </c>
      <c r="I8" s="2">
        <v>87.68</v>
      </c>
      <c r="J8" s="2">
        <v>1.3109999999999999</v>
      </c>
      <c r="K8" s="2">
        <v>-6.31</v>
      </c>
      <c r="L8" s="2">
        <v>64.099999999999994</v>
      </c>
      <c r="M8" s="2">
        <v>13</v>
      </c>
      <c r="N8" s="2">
        <v>4</v>
      </c>
      <c r="O8" s="2">
        <v>7</v>
      </c>
      <c r="P8" s="2">
        <v>2</v>
      </c>
    </row>
    <row r="9" spans="1:16" x14ac:dyDescent="0.3">
      <c r="A9" s="2" t="s">
        <v>66</v>
      </c>
      <c r="B9" s="2">
        <v>1</v>
      </c>
      <c r="C9" s="2">
        <v>1.5</v>
      </c>
      <c r="D9" s="2">
        <v>0</v>
      </c>
      <c r="E9" s="2">
        <v>20</v>
      </c>
      <c r="F9" s="2" t="s">
        <v>65</v>
      </c>
      <c r="G9" s="2" t="s">
        <v>49</v>
      </c>
      <c r="H9" s="2" t="s">
        <v>208</v>
      </c>
      <c r="I9" s="2">
        <v>97.15</v>
      </c>
      <c r="J9" s="2">
        <v>1.6892</v>
      </c>
      <c r="K9" s="2">
        <v>-14.94</v>
      </c>
      <c r="L9" s="2">
        <v>53.85</v>
      </c>
      <c r="M9" s="2">
        <v>13</v>
      </c>
      <c r="N9" s="2">
        <v>4</v>
      </c>
      <c r="O9" s="2">
        <v>8</v>
      </c>
      <c r="P9" s="2">
        <v>0</v>
      </c>
    </row>
    <row r="10" spans="1:16" x14ac:dyDescent="0.3">
      <c r="A10" s="2" t="s">
        <v>71</v>
      </c>
      <c r="B10" s="2">
        <v>1</v>
      </c>
      <c r="C10" s="2">
        <v>2</v>
      </c>
      <c r="D10" s="2">
        <v>0.5</v>
      </c>
      <c r="E10" s="2">
        <v>60</v>
      </c>
      <c r="F10" s="2" t="s">
        <v>74</v>
      </c>
      <c r="G10" s="2" t="s">
        <v>75</v>
      </c>
      <c r="H10" s="2" t="s">
        <v>209</v>
      </c>
      <c r="I10" s="2">
        <v>2.88</v>
      </c>
      <c r="J10" s="2">
        <v>0.17399999999999999</v>
      </c>
      <c r="K10" s="2">
        <v>-21.71</v>
      </c>
      <c r="L10" s="2">
        <v>48.05</v>
      </c>
      <c r="M10" s="2">
        <v>11</v>
      </c>
      <c r="N10" s="2">
        <v>4</v>
      </c>
      <c r="O10" s="2">
        <v>0</v>
      </c>
      <c r="P10" s="2">
        <v>7</v>
      </c>
    </row>
    <row r="11" spans="1:16" x14ac:dyDescent="0.3">
      <c r="A11" s="2" t="s">
        <v>76</v>
      </c>
      <c r="B11" s="2">
        <v>1</v>
      </c>
      <c r="C11" s="2">
        <v>1.5</v>
      </c>
      <c r="D11" s="2">
        <v>0.5</v>
      </c>
      <c r="E11" s="2">
        <v>20</v>
      </c>
      <c r="F11" s="2" t="s">
        <v>42</v>
      </c>
      <c r="G11" s="2" t="s">
        <v>43</v>
      </c>
      <c r="H11" s="2" t="s">
        <v>207</v>
      </c>
      <c r="I11" s="2">
        <v>116.35</v>
      </c>
      <c r="J11" s="2">
        <v>2.2214999999999998</v>
      </c>
      <c r="K11" s="2">
        <v>-11.23</v>
      </c>
      <c r="L11" s="2">
        <v>64.38</v>
      </c>
      <c r="M11" s="2">
        <v>49</v>
      </c>
      <c r="N11" s="2">
        <v>12</v>
      </c>
      <c r="O11" s="2">
        <v>20</v>
      </c>
      <c r="P11" s="2">
        <v>17</v>
      </c>
    </row>
    <row r="12" spans="1:16" x14ac:dyDescent="0.3">
      <c r="A12" s="2" t="s">
        <v>80</v>
      </c>
      <c r="B12" s="2">
        <v>1</v>
      </c>
      <c r="C12" s="2">
        <v>2</v>
      </c>
      <c r="D12" s="2">
        <v>0</v>
      </c>
      <c r="E12" s="2">
        <v>60</v>
      </c>
      <c r="F12" s="2" t="s">
        <v>48</v>
      </c>
      <c r="G12" s="2" t="s">
        <v>49</v>
      </c>
      <c r="H12" s="2" t="s">
        <v>207</v>
      </c>
      <c r="I12" s="2">
        <v>50.62</v>
      </c>
      <c r="J12" s="2">
        <v>1.3726</v>
      </c>
      <c r="K12" s="2">
        <v>-17.170000000000002</v>
      </c>
      <c r="L12" s="2">
        <v>51.5</v>
      </c>
      <c r="M12" s="2">
        <v>12</v>
      </c>
      <c r="N12" s="2">
        <v>4</v>
      </c>
      <c r="O12" s="2">
        <v>7</v>
      </c>
      <c r="P12" s="2">
        <v>0</v>
      </c>
    </row>
    <row r="13" spans="1:16" x14ac:dyDescent="0.3">
      <c r="A13" s="2" t="s">
        <v>84</v>
      </c>
      <c r="B13" s="2">
        <v>1</v>
      </c>
      <c r="C13" s="2">
        <v>1.5</v>
      </c>
      <c r="D13" s="2">
        <v>0</v>
      </c>
      <c r="E13" s="2">
        <v>40</v>
      </c>
      <c r="F13" s="2" t="s">
        <v>48</v>
      </c>
      <c r="G13" s="2" t="s">
        <v>60</v>
      </c>
      <c r="H13" s="2" t="s">
        <v>208</v>
      </c>
      <c r="I13" s="2">
        <v>82.6</v>
      </c>
      <c r="J13" s="2">
        <v>1.1071</v>
      </c>
      <c r="K13" s="2">
        <v>-23.14</v>
      </c>
      <c r="L13" s="2">
        <v>51.94</v>
      </c>
      <c r="M13" s="2">
        <v>24</v>
      </c>
      <c r="N13" s="2">
        <v>13</v>
      </c>
      <c r="O13" s="2">
        <v>10</v>
      </c>
      <c r="P13" s="2">
        <v>0</v>
      </c>
    </row>
    <row r="14" spans="1:16" x14ac:dyDescent="0.3">
      <c r="A14" s="2" t="s">
        <v>87</v>
      </c>
      <c r="B14" s="2">
        <v>1</v>
      </c>
      <c r="C14" s="2">
        <v>2</v>
      </c>
      <c r="D14" s="2">
        <v>0</v>
      </c>
      <c r="E14" s="2">
        <v>20</v>
      </c>
      <c r="F14" s="2" t="s">
        <v>43</v>
      </c>
      <c r="G14" s="2" t="s">
        <v>90</v>
      </c>
      <c r="H14" s="2" t="s">
        <v>208</v>
      </c>
      <c r="I14" s="2">
        <v>48.97</v>
      </c>
      <c r="J14" s="2">
        <v>0.87949999999999995</v>
      </c>
      <c r="K14" s="2">
        <v>-17.53</v>
      </c>
      <c r="L14" s="2">
        <v>54.93</v>
      </c>
      <c r="M14" s="2">
        <v>16</v>
      </c>
      <c r="N14" s="2">
        <v>9</v>
      </c>
      <c r="O14" s="2">
        <v>7</v>
      </c>
      <c r="P14" s="2">
        <v>0</v>
      </c>
    </row>
    <row r="15" spans="1:16" x14ac:dyDescent="0.3">
      <c r="A15" s="2" t="s">
        <v>91</v>
      </c>
      <c r="B15" s="2">
        <v>1</v>
      </c>
      <c r="C15" s="2">
        <v>2</v>
      </c>
      <c r="D15" s="2">
        <v>0.25</v>
      </c>
      <c r="E15" s="2">
        <v>60</v>
      </c>
      <c r="F15" s="2" t="s">
        <v>74</v>
      </c>
      <c r="G15" s="2" t="s">
        <v>75</v>
      </c>
      <c r="H15" s="2" t="s">
        <v>209</v>
      </c>
      <c r="I15" s="2">
        <v>135.63</v>
      </c>
      <c r="J15" s="2">
        <v>1.206</v>
      </c>
      <c r="K15" s="2">
        <v>-18.309999999999999</v>
      </c>
      <c r="L15" s="2">
        <v>41.91</v>
      </c>
      <c r="M15" s="2">
        <v>11</v>
      </c>
      <c r="N15" s="2">
        <v>3</v>
      </c>
      <c r="O15" s="2">
        <v>0</v>
      </c>
      <c r="P15" s="2">
        <v>7</v>
      </c>
    </row>
    <row r="16" spans="1:16" x14ac:dyDescent="0.3">
      <c r="A16" s="2" t="s">
        <v>95</v>
      </c>
      <c r="B16" s="2">
        <v>1</v>
      </c>
      <c r="C16" s="2">
        <v>1.5</v>
      </c>
      <c r="D16" s="2">
        <v>0.25</v>
      </c>
      <c r="E16" s="2">
        <v>20</v>
      </c>
      <c r="F16" s="2" t="s">
        <v>74</v>
      </c>
      <c r="G16" s="2" t="s">
        <v>75</v>
      </c>
      <c r="H16" s="2" t="s">
        <v>209</v>
      </c>
      <c r="I16" s="2">
        <v>109.43</v>
      </c>
      <c r="J16" s="2">
        <v>0.91269999999999996</v>
      </c>
      <c r="K16" s="2">
        <v>-26.06</v>
      </c>
      <c r="L16" s="2">
        <v>45.81</v>
      </c>
      <c r="M16" s="2">
        <v>25</v>
      </c>
      <c r="N16" s="2">
        <v>4</v>
      </c>
      <c r="O16" s="2">
        <v>0</v>
      </c>
      <c r="P16" s="2">
        <v>21</v>
      </c>
    </row>
    <row r="17" spans="1:16" x14ac:dyDescent="0.3">
      <c r="A17" s="2" t="s">
        <v>98</v>
      </c>
      <c r="B17" s="2">
        <v>1</v>
      </c>
      <c r="C17" s="2">
        <v>2</v>
      </c>
      <c r="D17" s="2">
        <v>0</v>
      </c>
      <c r="E17" s="2">
        <v>60</v>
      </c>
      <c r="F17" s="2" t="s">
        <v>65</v>
      </c>
      <c r="G17" s="2" t="s">
        <v>49</v>
      </c>
      <c r="H17" s="2" t="s">
        <v>208</v>
      </c>
      <c r="I17" s="2">
        <v>132.21</v>
      </c>
      <c r="J17" s="2">
        <v>2.2248999999999999</v>
      </c>
      <c r="K17" s="2">
        <v>-7.3</v>
      </c>
      <c r="L17" s="2">
        <v>62.34</v>
      </c>
      <c r="M17" s="2">
        <v>12</v>
      </c>
      <c r="N17" s="2">
        <v>2</v>
      </c>
      <c r="O17" s="2">
        <v>10</v>
      </c>
      <c r="P17" s="2">
        <v>0</v>
      </c>
    </row>
    <row r="18" spans="1:16" x14ac:dyDescent="0.3">
      <c r="A18" s="2" t="s">
        <v>101</v>
      </c>
      <c r="B18" s="2">
        <v>1</v>
      </c>
      <c r="C18" s="2">
        <v>1.5</v>
      </c>
      <c r="D18" s="2">
        <v>0</v>
      </c>
      <c r="E18" s="2">
        <v>60</v>
      </c>
      <c r="F18" s="2" t="s">
        <v>65</v>
      </c>
      <c r="G18" s="2" t="s">
        <v>49</v>
      </c>
      <c r="H18" s="2" t="s">
        <v>208</v>
      </c>
      <c r="I18" s="2">
        <v>19.97</v>
      </c>
      <c r="J18" s="2">
        <v>0.48680000000000001</v>
      </c>
      <c r="K18" s="2">
        <v>-20.5</v>
      </c>
      <c r="L18" s="2">
        <v>50.23</v>
      </c>
      <c r="M18" s="2">
        <v>19</v>
      </c>
      <c r="N18" s="2">
        <v>11</v>
      </c>
      <c r="O18" s="2">
        <v>7</v>
      </c>
      <c r="P18" s="2">
        <v>0</v>
      </c>
    </row>
    <row r="19" spans="1:16" x14ac:dyDescent="0.3">
      <c r="A19" s="2" t="s">
        <v>104</v>
      </c>
      <c r="B19" s="2">
        <v>1</v>
      </c>
      <c r="C19" s="2">
        <v>2</v>
      </c>
      <c r="D19" s="2">
        <v>0.5</v>
      </c>
      <c r="E19" s="2">
        <v>40</v>
      </c>
      <c r="F19" s="2" t="s">
        <v>48</v>
      </c>
      <c r="G19" s="2" t="s">
        <v>60</v>
      </c>
      <c r="H19" s="2" t="s">
        <v>208</v>
      </c>
      <c r="I19" s="2">
        <v>126.32</v>
      </c>
      <c r="J19" s="2">
        <v>1.1157999999999999</v>
      </c>
      <c r="K19" s="2">
        <v>-18.21</v>
      </c>
      <c r="L19" s="2">
        <v>46.55</v>
      </c>
      <c r="M19" s="2">
        <v>14</v>
      </c>
      <c r="N19" s="2">
        <v>4</v>
      </c>
      <c r="O19" s="2">
        <v>4</v>
      </c>
      <c r="P19" s="2">
        <v>6</v>
      </c>
    </row>
    <row r="20" spans="1:16" x14ac:dyDescent="0.3">
      <c r="A20" s="2" t="s">
        <v>108</v>
      </c>
      <c r="B20" s="2">
        <v>1</v>
      </c>
      <c r="C20" s="2">
        <v>2</v>
      </c>
      <c r="D20" s="2">
        <v>0.25</v>
      </c>
      <c r="E20" s="2">
        <v>20</v>
      </c>
      <c r="F20" s="2" t="s">
        <v>65</v>
      </c>
      <c r="G20" s="2" t="s">
        <v>49</v>
      </c>
      <c r="H20" s="2" t="s">
        <v>208</v>
      </c>
      <c r="I20" s="2">
        <v>158.69</v>
      </c>
      <c r="J20" s="2">
        <v>1.2115</v>
      </c>
      <c r="K20" s="2">
        <v>-23.03</v>
      </c>
      <c r="L20" s="2">
        <v>53.68</v>
      </c>
      <c r="M20" s="2">
        <v>29</v>
      </c>
      <c r="N20" s="2">
        <v>11</v>
      </c>
      <c r="O20" s="2">
        <v>6</v>
      </c>
      <c r="P20" s="2">
        <v>12</v>
      </c>
    </row>
    <row r="21" spans="1:16" x14ac:dyDescent="0.3">
      <c r="A21" s="2" t="s">
        <v>112</v>
      </c>
      <c r="B21" s="2">
        <v>1</v>
      </c>
      <c r="C21" s="2">
        <v>2</v>
      </c>
      <c r="D21" s="2">
        <v>0.25</v>
      </c>
      <c r="E21" s="2">
        <v>60</v>
      </c>
      <c r="F21" s="2" t="s">
        <v>74</v>
      </c>
      <c r="G21" s="2" t="s">
        <v>75</v>
      </c>
      <c r="H21" s="2" t="s">
        <v>209</v>
      </c>
      <c r="I21" s="2">
        <v>215.76</v>
      </c>
      <c r="J21" s="2">
        <v>2.2166999999999999</v>
      </c>
      <c r="K21" s="2">
        <v>-10.89</v>
      </c>
      <c r="L21" s="2">
        <v>52.25</v>
      </c>
      <c r="M21" s="2">
        <v>10</v>
      </c>
      <c r="N21" s="2">
        <v>1</v>
      </c>
      <c r="O21" s="2">
        <v>0</v>
      </c>
      <c r="P21" s="2">
        <v>9</v>
      </c>
    </row>
    <row r="22" spans="1:16" x14ac:dyDescent="0.3">
      <c r="A22" s="2" t="s">
        <v>116</v>
      </c>
      <c r="B22" s="2">
        <v>1</v>
      </c>
      <c r="C22" s="2">
        <v>1.5</v>
      </c>
      <c r="D22" s="2">
        <v>0</v>
      </c>
      <c r="E22" s="2">
        <v>60</v>
      </c>
      <c r="F22" s="2" t="s">
        <v>43</v>
      </c>
      <c r="G22" s="2" t="s">
        <v>90</v>
      </c>
      <c r="H22" s="2" t="s">
        <v>208</v>
      </c>
      <c r="I22" s="2">
        <v>14.66</v>
      </c>
      <c r="J22" s="2">
        <v>0.35510000000000003</v>
      </c>
      <c r="K22" s="2">
        <v>-21.11</v>
      </c>
      <c r="L22" s="2">
        <v>43.96</v>
      </c>
      <c r="M22" s="2">
        <v>20</v>
      </c>
      <c r="N22" s="2">
        <v>15</v>
      </c>
      <c r="O22" s="2">
        <v>5</v>
      </c>
      <c r="P22" s="2">
        <v>0</v>
      </c>
    </row>
    <row r="23" spans="1:16" x14ac:dyDescent="0.3">
      <c r="A23" s="2" t="s">
        <v>119</v>
      </c>
      <c r="B23" s="2">
        <v>1</v>
      </c>
      <c r="C23" s="2">
        <v>1.5</v>
      </c>
      <c r="D23" s="2">
        <v>0.5</v>
      </c>
      <c r="E23" s="2">
        <v>20</v>
      </c>
      <c r="F23" s="2" t="s">
        <v>42</v>
      </c>
      <c r="G23" s="2" t="s">
        <v>65</v>
      </c>
      <c r="H23" s="2" t="s">
        <v>208</v>
      </c>
      <c r="I23" s="2">
        <v>140.72999999999999</v>
      </c>
      <c r="J23" s="2">
        <v>1.766</v>
      </c>
      <c r="K23" s="2">
        <v>-15.2</v>
      </c>
      <c r="L23" s="2">
        <v>59.43</v>
      </c>
      <c r="M23" s="2">
        <v>41</v>
      </c>
      <c r="N23" s="2">
        <v>11</v>
      </c>
      <c r="O23" s="2">
        <v>10</v>
      </c>
      <c r="P23" s="2">
        <v>20</v>
      </c>
    </row>
    <row r="24" spans="1:16" x14ac:dyDescent="0.3">
      <c r="A24" s="2" t="s">
        <v>122</v>
      </c>
      <c r="B24" s="2">
        <v>1</v>
      </c>
      <c r="C24" s="2">
        <v>2</v>
      </c>
      <c r="D24" s="2">
        <v>0.25</v>
      </c>
      <c r="E24" s="2">
        <v>60</v>
      </c>
      <c r="F24" s="2" t="s">
        <v>43</v>
      </c>
      <c r="G24" s="2" t="s">
        <v>75</v>
      </c>
      <c r="H24" s="2" t="s">
        <v>210</v>
      </c>
      <c r="I24" s="2">
        <v>174.47</v>
      </c>
      <c r="J24" s="2">
        <v>1.5585</v>
      </c>
      <c r="K24" s="2">
        <v>-24.37</v>
      </c>
      <c r="L24" s="2">
        <v>49.34</v>
      </c>
      <c r="M24" s="2">
        <v>15</v>
      </c>
      <c r="N24" s="2">
        <v>9</v>
      </c>
      <c r="O24" s="2">
        <v>0</v>
      </c>
      <c r="P24" s="2">
        <v>5</v>
      </c>
    </row>
    <row r="25" spans="1:16" x14ac:dyDescent="0.3">
      <c r="A25" s="2" t="s">
        <v>125</v>
      </c>
      <c r="B25" s="2">
        <v>1</v>
      </c>
      <c r="C25" s="2">
        <v>1.5</v>
      </c>
      <c r="D25" s="2">
        <v>0.5</v>
      </c>
      <c r="E25" s="2">
        <v>20</v>
      </c>
      <c r="F25" s="2" t="s">
        <v>43</v>
      </c>
      <c r="G25" s="2" t="s">
        <v>90</v>
      </c>
      <c r="H25" s="2" t="s">
        <v>208</v>
      </c>
      <c r="I25" s="2">
        <v>223.88</v>
      </c>
      <c r="J25" s="2">
        <v>1.8016000000000001</v>
      </c>
      <c r="K25" s="2">
        <v>-21.19</v>
      </c>
      <c r="L25" s="2">
        <v>53.23</v>
      </c>
      <c r="M25" s="2">
        <v>49</v>
      </c>
      <c r="N25" s="2">
        <v>19</v>
      </c>
      <c r="O25" s="2">
        <v>19</v>
      </c>
      <c r="P25" s="2">
        <v>11</v>
      </c>
    </row>
    <row r="26" spans="1:16" x14ac:dyDescent="0.3">
      <c r="A26" s="2" t="s">
        <v>128</v>
      </c>
      <c r="B26" s="2">
        <v>1</v>
      </c>
      <c r="C26" s="2">
        <v>1.5</v>
      </c>
      <c r="D26" s="2">
        <v>0.5</v>
      </c>
      <c r="E26" s="2">
        <v>20</v>
      </c>
      <c r="F26" s="2" t="s">
        <v>42</v>
      </c>
      <c r="G26" s="2" t="s">
        <v>65</v>
      </c>
      <c r="H26" s="2" t="s">
        <v>208</v>
      </c>
      <c r="I26" s="2">
        <v>60.39</v>
      </c>
      <c r="J26" s="2">
        <v>1.1520999999999999</v>
      </c>
      <c r="K26" s="2">
        <v>-26.57</v>
      </c>
      <c r="L26" s="2">
        <v>50.72</v>
      </c>
      <c r="M26" s="2">
        <v>48</v>
      </c>
      <c r="N26" s="2">
        <v>20</v>
      </c>
      <c r="O26" s="2">
        <v>11</v>
      </c>
      <c r="P26" s="2">
        <v>17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30" customWidth="1"/>
    <col min="2" max="2" width="8" customWidth="1"/>
    <col min="3" max="3" width="14" customWidth="1"/>
    <col min="4" max="4" width="17" customWidth="1"/>
    <col min="5" max="5" width="20" customWidth="1"/>
    <col min="6" max="6" width="16" customWidth="1"/>
    <col min="7" max="7" width="20" customWidth="1"/>
    <col min="8" max="8" width="16" customWidth="1"/>
    <col min="9" max="9" width="10" customWidth="1"/>
    <col min="10" max="12" width="11" customWidth="1"/>
  </cols>
  <sheetData>
    <row r="1" spans="1:12" ht="16.8" x14ac:dyDescent="0.3">
      <c r="A1" s="8" t="s">
        <v>211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x14ac:dyDescent="0.3">
      <c r="A3" s="1" t="s">
        <v>1</v>
      </c>
      <c r="B3" s="1" t="s">
        <v>198</v>
      </c>
      <c r="C3" s="1" t="s">
        <v>212</v>
      </c>
      <c r="D3" s="1" t="s">
        <v>213</v>
      </c>
      <c r="E3" s="1" t="s">
        <v>201</v>
      </c>
      <c r="F3" s="1" t="s">
        <v>134</v>
      </c>
      <c r="G3" s="1" t="s">
        <v>202</v>
      </c>
      <c r="H3" s="1" t="s">
        <v>136</v>
      </c>
      <c r="I3" s="1" t="s">
        <v>203</v>
      </c>
      <c r="J3" s="1" t="s">
        <v>204</v>
      </c>
      <c r="K3" s="1" t="s">
        <v>205</v>
      </c>
      <c r="L3" s="1" t="s">
        <v>206</v>
      </c>
    </row>
    <row r="4" spans="1:12" x14ac:dyDescent="0.3">
      <c r="A4" s="2" t="s">
        <v>36</v>
      </c>
      <c r="B4" s="2">
        <v>1</v>
      </c>
      <c r="C4" s="2">
        <v>7</v>
      </c>
      <c r="D4" s="2">
        <v>40</v>
      </c>
      <c r="E4" s="2">
        <v>21.62</v>
      </c>
      <c r="F4" s="2">
        <v>1.1476999999999999</v>
      </c>
      <c r="G4" s="2">
        <v>-3.57</v>
      </c>
      <c r="H4" s="2">
        <v>57.14</v>
      </c>
      <c r="I4" s="2">
        <v>5</v>
      </c>
      <c r="J4" s="2">
        <v>1</v>
      </c>
      <c r="K4" s="2">
        <v>4</v>
      </c>
      <c r="L4" s="2">
        <v>0</v>
      </c>
    </row>
    <row r="5" spans="1:12" x14ac:dyDescent="0.3">
      <c r="A5" s="2" t="s">
        <v>44</v>
      </c>
      <c r="B5" s="2">
        <v>1</v>
      </c>
      <c r="C5" s="2">
        <v>10</v>
      </c>
      <c r="D5" s="2">
        <v>40</v>
      </c>
      <c r="E5" s="2">
        <v>20.28</v>
      </c>
      <c r="F5" s="2">
        <v>0.57210000000000005</v>
      </c>
      <c r="G5" s="2">
        <v>-27.27</v>
      </c>
      <c r="H5" s="2">
        <v>52.94</v>
      </c>
      <c r="I5" s="2">
        <v>14</v>
      </c>
      <c r="J5" s="2">
        <v>7</v>
      </c>
      <c r="K5" s="2">
        <v>7</v>
      </c>
      <c r="L5" s="2">
        <v>0</v>
      </c>
    </row>
    <row r="6" spans="1:12" x14ac:dyDescent="0.3">
      <c r="A6" s="2" t="s">
        <v>50</v>
      </c>
      <c r="B6" s="2">
        <v>1</v>
      </c>
      <c r="C6" s="2">
        <v>14</v>
      </c>
      <c r="D6" s="2">
        <v>40</v>
      </c>
      <c r="E6" s="2">
        <v>105.72</v>
      </c>
      <c r="F6" s="2">
        <v>1.3052999999999999</v>
      </c>
      <c r="G6" s="2">
        <v>-8</v>
      </c>
      <c r="H6" s="2">
        <v>58.33</v>
      </c>
      <c r="I6" s="2">
        <v>15</v>
      </c>
      <c r="J6" s="2">
        <v>2</v>
      </c>
      <c r="K6" s="2">
        <v>4</v>
      </c>
      <c r="L6" s="2">
        <v>9</v>
      </c>
    </row>
    <row r="7" spans="1:12" x14ac:dyDescent="0.3">
      <c r="A7" s="2" t="s">
        <v>56</v>
      </c>
      <c r="B7" s="2">
        <v>1</v>
      </c>
      <c r="C7" s="2">
        <v>14</v>
      </c>
      <c r="D7" s="2">
        <v>40</v>
      </c>
      <c r="E7" s="2">
        <v>85.31</v>
      </c>
      <c r="F7" s="2">
        <v>2.214</v>
      </c>
      <c r="G7" s="2">
        <v>-4.83</v>
      </c>
      <c r="H7" s="2">
        <v>59.42</v>
      </c>
      <c r="I7" s="2">
        <v>8</v>
      </c>
      <c r="J7" s="2">
        <v>0</v>
      </c>
      <c r="K7" s="2">
        <v>3</v>
      </c>
      <c r="L7" s="2">
        <v>5</v>
      </c>
    </row>
    <row r="8" spans="1:12" x14ac:dyDescent="0.3">
      <c r="A8" s="2" t="s">
        <v>61</v>
      </c>
      <c r="B8" s="2">
        <v>1</v>
      </c>
      <c r="C8" s="2">
        <v>14</v>
      </c>
      <c r="D8" s="2">
        <v>40</v>
      </c>
      <c r="E8" s="2">
        <v>87.68</v>
      </c>
      <c r="F8" s="2">
        <v>1.3109999999999999</v>
      </c>
      <c r="G8" s="2">
        <v>-6.31</v>
      </c>
      <c r="H8" s="2">
        <v>64.099999999999994</v>
      </c>
      <c r="I8" s="2">
        <v>13</v>
      </c>
      <c r="J8" s="2">
        <v>4</v>
      </c>
      <c r="K8" s="2">
        <v>7</v>
      </c>
      <c r="L8" s="2">
        <v>2</v>
      </c>
    </row>
    <row r="9" spans="1:12" x14ac:dyDescent="0.3">
      <c r="A9" s="2" t="s">
        <v>66</v>
      </c>
      <c r="B9" s="2">
        <v>1</v>
      </c>
      <c r="C9" s="2">
        <v>14</v>
      </c>
      <c r="D9" s="2">
        <v>25</v>
      </c>
      <c r="E9" s="2">
        <v>44.45</v>
      </c>
      <c r="F9" s="2">
        <v>1.6757</v>
      </c>
      <c r="G9" s="2">
        <v>-9.58</v>
      </c>
      <c r="H9" s="2">
        <v>54.63</v>
      </c>
      <c r="I9" s="2">
        <v>7</v>
      </c>
      <c r="J9" s="2">
        <v>2</v>
      </c>
      <c r="K9" s="2">
        <v>5</v>
      </c>
      <c r="L9" s="2">
        <v>0</v>
      </c>
    </row>
    <row r="10" spans="1:12" x14ac:dyDescent="0.3">
      <c r="A10" s="2" t="s">
        <v>71</v>
      </c>
      <c r="B10" s="2">
        <v>1</v>
      </c>
      <c r="C10" s="2">
        <v>7</v>
      </c>
      <c r="D10" s="2">
        <v>25</v>
      </c>
      <c r="E10" s="2">
        <v>15.59</v>
      </c>
      <c r="F10" s="2">
        <v>0.45229999999999998</v>
      </c>
      <c r="G10" s="2">
        <v>-21.71</v>
      </c>
      <c r="H10" s="2">
        <v>50</v>
      </c>
      <c r="I10" s="2">
        <v>8</v>
      </c>
      <c r="J10" s="2">
        <v>2</v>
      </c>
      <c r="K10" s="2">
        <v>0</v>
      </c>
      <c r="L10" s="2">
        <v>6</v>
      </c>
    </row>
    <row r="11" spans="1:12" x14ac:dyDescent="0.3">
      <c r="A11" s="2" t="s">
        <v>76</v>
      </c>
      <c r="B11" s="2">
        <v>1</v>
      </c>
      <c r="C11" s="2">
        <v>7</v>
      </c>
      <c r="D11" s="2">
        <v>40</v>
      </c>
      <c r="E11" s="2">
        <v>92.51</v>
      </c>
      <c r="F11" s="2">
        <v>2.5800999999999998</v>
      </c>
      <c r="G11" s="2">
        <v>-6.56</v>
      </c>
      <c r="H11" s="2">
        <v>80.56</v>
      </c>
      <c r="I11" s="2">
        <v>27</v>
      </c>
      <c r="J11" s="2">
        <v>4</v>
      </c>
      <c r="K11" s="2">
        <v>13</v>
      </c>
      <c r="L11" s="2">
        <v>10</v>
      </c>
    </row>
    <row r="12" spans="1:12" x14ac:dyDescent="0.3">
      <c r="A12" s="2" t="s">
        <v>80</v>
      </c>
      <c r="B12" s="2">
        <v>1</v>
      </c>
      <c r="C12" s="2">
        <v>10</v>
      </c>
      <c r="D12" s="2">
        <v>25</v>
      </c>
      <c r="E12" s="2">
        <v>8.48</v>
      </c>
      <c r="F12" s="2">
        <v>0.93369999999999997</v>
      </c>
      <c r="G12" s="2">
        <v>-2.0299999999999998</v>
      </c>
      <c r="H12" s="2">
        <v>75</v>
      </c>
      <c r="I12" s="2">
        <v>1</v>
      </c>
      <c r="J12" s="2">
        <v>0</v>
      </c>
      <c r="K12" s="2">
        <v>1</v>
      </c>
      <c r="L12" s="2">
        <v>0</v>
      </c>
    </row>
    <row r="13" spans="1:12" x14ac:dyDescent="0.3">
      <c r="A13" s="2" t="s">
        <v>84</v>
      </c>
      <c r="B13" s="2">
        <v>1</v>
      </c>
      <c r="C13" s="2">
        <v>10</v>
      </c>
      <c r="D13" s="2">
        <v>40</v>
      </c>
      <c r="E13" s="2">
        <v>93.72</v>
      </c>
      <c r="F13" s="2">
        <v>1.4957</v>
      </c>
      <c r="G13" s="2">
        <v>-10.63</v>
      </c>
      <c r="H13" s="2">
        <v>52.59</v>
      </c>
      <c r="I13" s="2">
        <v>13</v>
      </c>
      <c r="J13" s="2">
        <v>5</v>
      </c>
      <c r="K13" s="2">
        <v>7</v>
      </c>
      <c r="L13" s="2">
        <v>0</v>
      </c>
    </row>
    <row r="14" spans="1:12" x14ac:dyDescent="0.3">
      <c r="A14" s="2" t="s">
        <v>87</v>
      </c>
      <c r="B14" s="2">
        <v>1</v>
      </c>
      <c r="C14" s="2">
        <v>7</v>
      </c>
      <c r="D14" s="2">
        <v>40</v>
      </c>
      <c r="E14" s="2">
        <v>23.59</v>
      </c>
      <c r="F14" s="2">
        <v>0.55320000000000003</v>
      </c>
      <c r="G14" s="2">
        <v>-25.72</v>
      </c>
      <c r="H14" s="2">
        <v>54.31</v>
      </c>
      <c r="I14" s="2">
        <v>18</v>
      </c>
      <c r="J14" s="2">
        <v>11</v>
      </c>
      <c r="K14" s="2">
        <v>7</v>
      </c>
      <c r="L14" s="2">
        <v>0</v>
      </c>
    </row>
    <row r="15" spans="1:12" x14ac:dyDescent="0.3">
      <c r="A15" s="2" t="s">
        <v>91</v>
      </c>
      <c r="B15" s="2">
        <v>1</v>
      </c>
      <c r="C15" s="2">
        <v>7</v>
      </c>
      <c r="D15" s="2">
        <v>25</v>
      </c>
      <c r="E15" s="2">
        <v>153.72</v>
      </c>
      <c r="F15" s="2">
        <v>1.2983</v>
      </c>
      <c r="G15" s="2">
        <v>-18.309999999999999</v>
      </c>
      <c r="H15" s="2">
        <v>43.7</v>
      </c>
      <c r="I15" s="2">
        <v>9</v>
      </c>
      <c r="J15" s="2">
        <v>3</v>
      </c>
      <c r="K15" s="2">
        <v>0</v>
      </c>
      <c r="L15" s="2">
        <v>5</v>
      </c>
    </row>
    <row r="16" spans="1:12" x14ac:dyDescent="0.3">
      <c r="A16" s="2" t="s">
        <v>95</v>
      </c>
      <c r="B16" s="2">
        <v>1</v>
      </c>
      <c r="C16" s="2">
        <v>7</v>
      </c>
      <c r="D16" s="2">
        <v>25</v>
      </c>
      <c r="E16" s="2">
        <v>178.04</v>
      </c>
      <c r="F16" s="2">
        <v>1.3064</v>
      </c>
      <c r="G16" s="2">
        <v>-19.46</v>
      </c>
      <c r="H16" s="2">
        <v>48.34</v>
      </c>
      <c r="I16" s="2">
        <v>13</v>
      </c>
      <c r="J16" s="2">
        <v>0</v>
      </c>
      <c r="K16" s="2">
        <v>0</v>
      </c>
      <c r="L16" s="2">
        <v>13</v>
      </c>
    </row>
    <row r="17" spans="1:12" x14ac:dyDescent="0.3">
      <c r="A17" s="2" t="s">
        <v>98</v>
      </c>
      <c r="B17" s="2">
        <v>1</v>
      </c>
      <c r="C17" s="2">
        <v>7</v>
      </c>
      <c r="D17" s="2">
        <v>40</v>
      </c>
      <c r="E17" s="2">
        <v>132.21</v>
      </c>
      <c r="F17" s="2">
        <v>2.2248999999999999</v>
      </c>
      <c r="G17" s="2">
        <v>-7.3</v>
      </c>
      <c r="H17" s="2">
        <v>62.34</v>
      </c>
      <c r="I17" s="2">
        <v>12</v>
      </c>
      <c r="J17" s="2">
        <v>2</v>
      </c>
      <c r="K17" s="2">
        <v>10</v>
      </c>
      <c r="L17" s="2">
        <v>0</v>
      </c>
    </row>
    <row r="18" spans="1:12" x14ac:dyDescent="0.3">
      <c r="A18" s="2" t="s">
        <v>101</v>
      </c>
      <c r="B18" s="2">
        <v>1</v>
      </c>
      <c r="C18" s="2">
        <v>7</v>
      </c>
      <c r="D18" s="2">
        <v>40</v>
      </c>
      <c r="E18" s="2">
        <v>12.43</v>
      </c>
      <c r="F18" s="2">
        <v>0.36909999999999998</v>
      </c>
      <c r="G18" s="2">
        <v>-15.94</v>
      </c>
      <c r="H18" s="2">
        <v>49.51</v>
      </c>
      <c r="I18" s="2">
        <v>15</v>
      </c>
      <c r="J18" s="2">
        <v>9</v>
      </c>
      <c r="K18" s="2">
        <v>5</v>
      </c>
      <c r="L18" s="2">
        <v>0</v>
      </c>
    </row>
    <row r="19" spans="1:12" x14ac:dyDescent="0.3">
      <c r="A19" s="2" t="s">
        <v>104</v>
      </c>
      <c r="B19" s="2">
        <v>1</v>
      </c>
      <c r="C19" s="2">
        <v>14</v>
      </c>
      <c r="D19" s="2">
        <v>25</v>
      </c>
      <c r="E19" s="2">
        <v>75.95</v>
      </c>
      <c r="F19" s="2">
        <v>0.95589999999999997</v>
      </c>
      <c r="G19" s="2">
        <v>-8.66</v>
      </c>
      <c r="H19" s="2">
        <v>50</v>
      </c>
      <c r="I19" s="2">
        <v>6</v>
      </c>
      <c r="J19" s="2">
        <v>1</v>
      </c>
      <c r="K19" s="2">
        <v>2</v>
      </c>
      <c r="L19" s="2">
        <v>3</v>
      </c>
    </row>
    <row r="20" spans="1:12" x14ac:dyDescent="0.3">
      <c r="A20" s="2" t="s">
        <v>108</v>
      </c>
      <c r="B20" s="2">
        <v>1</v>
      </c>
      <c r="C20" s="2">
        <v>7</v>
      </c>
      <c r="D20" s="2">
        <v>40</v>
      </c>
      <c r="E20" s="2">
        <v>202.85</v>
      </c>
      <c r="F20" s="2">
        <v>1.4601999999999999</v>
      </c>
      <c r="G20" s="2">
        <v>-13.48</v>
      </c>
      <c r="H20" s="2">
        <v>57.89</v>
      </c>
      <c r="I20" s="2">
        <v>18</v>
      </c>
      <c r="J20" s="2">
        <v>5</v>
      </c>
      <c r="K20" s="2">
        <v>4</v>
      </c>
      <c r="L20" s="2">
        <v>9</v>
      </c>
    </row>
    <row r="21" spans="1:12" x14ac:dyDescent="0.3">
      <c r="A21" s="2" t="s">
        <v>112</v>
      </c>
      <c r="B21" s="2">
        <v>1</v>
      </c>
      <c r="C21" s="2">
        <v>10</v>
      </c>
      <c r="D21" s="2">
        <v>40</v>
      </c>
      <c r="E21" s="2">
        <v>42.44</v>
      </c>
      <c r="F21" s="2">
        <v>1.1145</v>
      </c>
      <c r="G21" s="2">
        <v>-10.89</v>
      </c>
      <c r="H21" s="2">
        <v>46.77</v>
      </c>
      <c r="I21" s="2">
        <v>5</v>
      </c>
      <c r="J21" s="2">
        <v>1</v>
      </c>
      <c r="K21" s="2">
        <v>0</v>
      </c>
      <c r="L21" s="2">
        <v>4</v>
      </c>
    </row>
    <row r="22" spans="1:12" x14ac:dyDescent="0.3">
      <c r="A22" s="2" t="s">
        <v>116</v>
      </c>
      <c r="B22" s="2">
        <v>1</v>
      </c>
      <c r="C22" s="2">
        <v>7</v>
      </c>
      <c r="D22" s="2">
        <v>25</v>
      </c>
      <c r="E22" s="2">
        <v>43.05</v>
      </c>
      <c r="F22" s="2">
        <v>0.68899999999999995</v>
      </c>
      <c r="G22" s="2">
        <v>-20.07</v>
      </c>
      <c r="H22" s="2">
        <v>42.86</v>
      </c>
      <c r="I22" s="2">
        <v>14</v>
      </c>
      <c r="J22" s="2">
        <v>10</v>
      </c>
      <c r="K22" s="2">
        <v>4</v>
      </c>
      <c r="L22" s="2">
        <v>0</v>
      </c>
    </row>
    <row r="23" spans="1:12" x14ac:dyDescent="0.3">
      <c r="A23" s="2" t="s">
        <v>119</v>
      </c>
      <c r="B23" s="2">
        <v>1</v>
      </c>
      <c r="C23" s="2">
        <v>7</v>
      </c>
      <c r="D23" s="2">
        <v>40</v>
      </c>
      <c r="E23" s="2">
        <v>117.54</v>
      </c>
      <c r="F23" s="2">
        <v>1.6597</v>
      </c>
      <c r="G23" s="2">
        <v>-14.58</v>
      </c>
      <c r="H23" s="2">
        <v>66.67</v>
      </c>
      <c r="I23" s="2">
        <v>28</v>
      </c>
      <c r="J23" s="2">
        <v>7</v>
      </c>
      <c r="K23" s="2">
        <v>8</v>
      </c>
      <c r="L23" s="2">
        <v>13</v>
      </c>
    </row>
    <row r="24" spans="1:12" x14ac:dyDescent="0.3">
      <c r="A24" s="2" t="s">
        <v>122</v>
      </c>
      <c r="B24" s="2">
        <v>1</v>
      </c>
      <c r="C24" s="2">
        <v>14</v>
      </c>
      <c r="D24" s="2">
        <v>25</v>
      </c>
      <c r="E24" s="2">
        <v>86.97</v>
      </c>
      <c r="F24" s="2">
        <v>1.1736</v>
      </c>
      <c r="G24" s="2">
        <v>-25</v>
      </c>
      <c r="H24" s="2">
        <v>45.68</v>
      </c>
      <c r="I24" s="2">
        <v>7</v>
      </c>
      <c r="J24" s="2">
        <v>4</v>
      </c>
      <c r="K24" s="2">
        <v>0</v>
      </c>
      <c r="L24" s="2">
        <v>3</v>
      </c>
    </row>
    <row r="25" spans="1:12" x14ac:dyDescent="0.3">
      <c r="A25" s="2" t="s">
        <v>125</v>
      </c>
      <c r="B25" s="2">
        <v>1</v>
      </c>
      <c r="C25" s="2">
        <v>10</v>
      </c>
      <c r="D25" s="2">
        <v>40</v>
      </c>
      <c r="E25" s="2">
        <v>107.74</v>
      </c>
      <c r="F25" s="2">
        <v>1.3898999999999999</v>
      </c>
      <c r="G25" s="2">
        <v>-20.37</v>
      </c>
      <c r="H25" s="2">
        <v>59.02</v>
      </c>
      <c r="I25" s="2">
        <v>26</v>
      </c>
      <c r="J25" s="2">
        <v>11</v>
      </c>
      <c r="K25" s="2">
        <v>11</v>
      </c>
      <c r="L25" s="2">
        <v>4</v>
      </c>
    </row>
    <row r="26" spans="1:12" x14ac:dyDescent="0.3">
      <c r="A26" s="2" t="s">
        <v>128</v>
      </c>
      <c r="B26" s="2">
        <v>1</v>
      </c>
      <c r="C26" s="2">
        <v>14</v>
      </c>
      <c r="D26" s="2">
        <v>40</v>
      </c>
      <c r="E26" s="2">
        <v>62.32</v>
      </c>
      <c r="F26" s="2">
        <v>1.2658</v>
      </c>
      <c r="G26" s="2">
        <v>-20.56</v>
      </c>
      <c r="H26" s="2">
        <v>51.96</v>
      </c>
      <c r="I26" s="2">
        <v>33</v>
      </c>
      <c r="J26" s="2">
        <v>13</v>
      </c>
      <c r="K26" s="2">
        <v>9</v>
      </c>
      <c r="L26" s="2">
        <v>11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Raw Data</vt:lpstr>
      <vt:lpstr>RQ1 - Per Metode (Base)</vt:lpstr>
      <vt:lpstr>RQ1 - Per Metode (RSI)</vt:lpstr>
      <vt:lpstr>RQ2 - Per Sektor</vt:lpstr>
      <vt:lpstr>RQ3 - Basis vs RSI</vt:lpstr>
      <vt:lpstr>RQ4 - Kinerja Keseluruhan</vt:lpstr>
      <vt:lpstr>GS Fase1 - Terpilih (Train)</vt:lpstr>
      <vt:lpstr>GS Fase2 RSI - Terpilih (Train)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 IMANUEL</cp:lastModifiedBy>
  <dcterms:created xsi:type="dcterms:W3CDTF">2026-05-02T16:29:08Z</dcterms:created>
  <dcterms:modified xsi:type="dcterms:W3CDTF">2026-05-02T16:49:52Z</dcterms:modified>
</cp:coreProperties>
</file>